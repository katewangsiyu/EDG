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GridSpacing" sheetId="5" r:id="rId1"/>
    <sheet name="QM9结果" sheetId="1" r:id="rId2"/>
    <sheet name="rMD17" sheetId="4" r:id="rId3"/>
    <sheet name="MD17" sheetId="2" r:id="rId4"/>
    <sheet name="记录" sheetId="3" r:id="rId5"/>
    <sheet name="Introduc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C13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ED1.0/rs42</t>
        </r>
      </text>
    </comment>
    <comment ref="D13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ED0.01/rs42</t>
        </r>
      </text>
    </comment>
    <comment ref="E13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ED1.0/rs42</t>
        </r>
      </text>
    </comment>
    <comment ref="F13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ED0.001/rs42</t>
        </r>
      </text>
    </comment>
    <comment ref="G13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ED1.0/rs42</t>
        </r>
      </text>
    </comment>
    <comment ref="H13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ED1.0/rs42</t>
        </r>
      </text>
    </comment>
    <comment ref="I13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ED0.01/rs42</t>
        </r>
      </text>
    </comment>
    <comment ref="J13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ED1.0/rs42</t>
        </r>
      </text>
    </comment>
    <comment ref="K13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ED1.0/rs42</t>
        </r>
      </text>
    </comment>
    <comment ref="L13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ED0.5/rs42</t>
        </r>
      </text>
    </comment>
    <comment ref="M13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ED0.05/rs42</t>
        </r>
      </text>
    </comment>
    <comment ref="N13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ED0.005/rs42</t>
        </r>
      </text>
    </comment>
    <comment ref="E15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ED1.0_E0.5/rs42</t>
        </r>
      </text>
    </comment>
    <comment ref="H15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ED1.0_E0.9/rs42</t>
        </r>
      </text>
    </comment>
    <comment ref="J15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ED1.0_E0.4/rs42</t>
        </r>
      </text>
    </comment>
    <comment ref="K15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ED1.0_E0.6/rs42</t>
        </r>
      </text>
    </comment>
    <comment ref="M15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ED1.0_E0.1/rs42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J19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之前跑的，删了，没了</t>
        </r>
      </text>
    </comment>
    <comment ref="K19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之前跑的，删了，没了</t>
        </r>
      </text>
    </comment>
    <comment ref="M19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之前跑的，删了，没了</t>
        </r>
      </text>
    </comment>
  </commentList>
</comments>
</file>

<file path=xl/sharedStrings.xml><?xml version="1.0" encoding="utf-8"?>
<sst xmlns="http://schemas.openxmlformats.org/spreadsheetml/2006/main" count="158" uniqueCount="95">
  <si>
    <r>
      <rPr>
        <sz val="11"/>
        <color theme="1"/>
        <rFont val="宋体"/>
        <charset val="134"/>
      </rPr>
      <t xml:space="preserve">计算 </t>
    </r>
    <r>
      <rPr>
        <sz val="11"/>
        <color theme="1"/>
        <rFont val="Arial"/>
        <charset val="134"/>
      </rPr>
      <t xml:space="preserve">Conformer3D_COMPOUND_CID_3325 </t>
    </r>
    <r>
      <rPr>
        <sz val="11"/>
        <color theme="1"/>
        <rFont val="宋体"/>
        <charset val="134"/>
      </rPr>
      <t xml:space="preserve">中 </t>
    </r>
    <r>
      <rPr>
        <sz val="11"/>
        <color theme="1"/>
        <rFont val="Arial"/>
        <charset val="134"/>
      </rPr>
      <t xml:space="preserve">Dt.cube </t>
    </r>
    <r>
      <rPr>
        <sz val="11"/>
        <color theme="1"/>
        <rFont val="宋体"/>
        <charset val="134"/>
      </rPr>
      <t>的存储和电子密度的点数量</t>
    </r>
  </si>
  <si>
    <t>GridSpacing</t>
  </si>
  <si>
    <t>Dt Cube Storage Space (KB)</t>
  </si>
  <si>
    <t>#ED</t>
  </si>
  <si>
    <t>6-View Image Storage Space (KB)</t>
  </si>
  <si>
    <t>alpha</t>
  </si>
  <si>
    <t>gap</t>
  </si>
  <si>
    <t>homo</t>
  </si>
  <si>
    <t>lumo</t>
  </si>
  <si>
    <t>mu</t>
  </si>
  <si>
    <t>cv</t>
  </si>
  <si>
    <t>g298</t>
  </si>
  <si>
    <t>h298</t>
  </si>
  <si>
    <t>r2</t>
  </si>
  <si>
    <t>u298</t>
  </si>
  <si>
    <t>u0</t>
  </si>
  <si>
    <t>zpve</t>
  </si>
  <si>
    <t>Model</t>
  </si>
  <si>
    <r>
      <rPr>
        <sz val="11"/>
        <color theme="1"/>
        <rFont val="Calibri"/>
        <charset val="161"/>
      </rPr>
      <t>α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Calibri"/>
        <charset val="1"/>
      </rPr>
      <t>↓</t>
    </r>
  </si>
  <si>
    <r>
      <rPr>
        <sz val="11"/>
        <color theme="1"/>
        <rFont val="Cambria Math"/>
        <charset val="134"/>
      </rPr>
      <t>∇</t>
    </r>
    <r>
      <rPr>
        <sz val="11"/>
        <color theme="1"/>
        <rFont val="Calibri"/>
        <charset val="134"/>
      </rPr>
      <t xml:space="preserve">E </t>
    </r>
    <r>
      <rPr>
        <sz val="11"/>
        <color theme="1"/>
        <rFont val="Calibri"/>
        <charset val="1"/>
      </rPr>
      <t>↓</t>
    </r>
  </si>
  <si>
    <t>EHOMO ↓</t>
  </si>
  <si>
    <t>ELUMO ↓</t>
  </si>
  <si>
    <r>
      <rPr>
        <sz val="11"/>
        <color theme="1"/>
        <rFont val="Calibri"/>
        <charset val="161"/>
      </rPr>
      <t>μ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Calibri"/>
        <charset val="1"/>
      </rPr>
      <t>↓</t>
    </r>
  </si>
  <si>
    <t>Cv ↓</t>
  </si>
  <si>
    <t>G ↓</t>
  </si>
  <si>
    <t>H ↓</t>
  </si>
  <si>
    <t>R2 ↓</t>
  </si>
  <si>
    <t>U ↓</t>
  </si>
  <si>
    <t>U0 ↓</t>
  </si>
  <si>
    <t>ZPVE ↓</t>
  </si>
  <si>
    <t>eV 转为 毫电子伏特 (meV) 时，数据要乘以 1000</t>
  </si>
  <si>
    <t>meV</t>
  </si>
  <si>
    <t>D</t>
  </si>
  <si>
    <t>AVG</t>
  </si>
  <si>
    <t>发表时间</t>
  </si>
  <si>
    <t>之前跑的，数据丢了</t>
  </si>
  <si>
    <t>已完成</t>
  </si>
  <si>
    <t>SchNet</t>
  </si>
  <si>
    <t>SchNet w/ ED</t>
  </si>
  <si>
    <t>Impro</t>
  </si>
  <si>
    <t>SchNet w/ ED and Evaluator</t>
  </si>
  <si>
    <t>SchNet w/ KD</t>
  </si>
  <si>
    <t>EER_SchNet</t>
  </si>
  <si>
    <t>EGNN</t>
  </si>
  <si>
    <t>ICML 2021</t>
  </si>
  <si>
    <t>EGNN w/ ED</t>
  </si>
  <si>
    <t>106服务器</t>
  </si>
  <si>
    <t>EGNN w/ ED and Evaluator (topn_batch)</t>
  </si>
  <si>
    <t>EGNN w/ KD</t>
  </si>
  <si>
    <t>EER_EGNN</t>
  </si>
  <si>
    <t>Equiformer</t>
  </si>
  <si>
    <t>ICLR 2023</t>
  </si>
  <si>
    <t>Equiformer w/ ED</t>
  </si>
  <si>
    <t>Equiformer w/ ED and Evaluator</t>
  </si>
  <si>
    <t>Equiformer w/ KD</t>
  </si>
  <si>
    <t>EER_Equiformer</t>
  </si>
  <si>
    <t>105服务器</t>
  </si>
  <si>
    <t>SphereNet</t>
  </si>
  <si>
    <t>ICLR 2022</t>
  </si>
  <si>
    <t>SphereNet w/ ED</t>
  </si>
  <si>
    <t>SphereNet w/ ED and Evaluator</t>
  </si>
  <si>
    <t>SphereNet w/ KD</t>
  </si>
  <si>
    <t>EER_SphereNet</t>
  </si>
  <si>
    <t>Energy/Force</t>
  </si>
  <si>
    <t>Aspirin ↓</t>
  </si>
  <si>
    <r>
      <rPr>
        <sz val="11"/>
        <color theme="1"/>
        <rFont val="Arial"/>
        <charset val="134"/>
      </rPr>
      <t xml:space="preserve">Azobenzene </t>
    </r>
    <r>
      <rPr>
        <sz val="11"/>
        <color theme="1"/>
        <rFont val="宋体"/>
        <charset val="134"/>
      </rPr>
      <t>↓</t>
    </r>
  </si>
  <si>
    <r>
      <rPr>
        <sz val="11"/>
        <color theme="1"/>
        <rFont val="Arial"/>
        <charset val="134"/>
      </rPr>
      <t xml:space="preserve">Benzene </t>
    </r>
    <r>
      <rPr>
        <sz val="11"/>
        <color theme="1"/>
        <rFont val="宋体"/>
        <charset val="134"/>
      </rPr>
      <t>↓</t>
    </r>
  </si>
  <si>
    <r>
      <rPr>
        <sz val="11"/>
        <color theme="1"/>
        <rFont val="Arial"/>
        <charset val="134"/>
      </rPr>
      <t xml:space="preserve">Ethanol </t>
    </r>
    <r>
      <rPr>
        <sz val="11"/>
        <color theme="1"/>
        <rFont val="宋体"/>
        <charset val="134"/>
      </rPr>
      <t>↓</t>
    </r>
  </si>
  <si>
    <r>
      <rPr>
        <sz val="11"/>
        <color theme="1"/>
        <rFont val="Arial"/>
        <charset val="134"/>
      </rPr>
      <t xml:space="preserve">Malonaldehyde </t>
    </r>
    <r>
      <rPr>
        <sz val="11"/>
        <color theme="1"/>
        <rFont val="宋体"/>
        <charset val="134"/>
      </rPr>
      <t>↓</t>
    </r>
  </si>
  <si>
    <r>
      <rPr>
        <sz val="11"/>
        <color theme="1"/>
        <rFont val="Arial"/>
        <charset val="134"/>
      </rPr>
      <t xml:space="preserve">Naphthalene </t>
    </r>
    <r>
      <rPr>
        <sz val="11"/>
        <color theme="1"/>
        <rFont val="宋体"/>
        <charset val="134"/>
      </rPr>
      <t>↓</t>
    </r>
  </si>
  <si>
    <r>
      <rPr>
        <sz val="11"/>
        <color theme="1"/>
        <rFont val="Arial"/>
        <charset val="134"/>
      </rPr>
      <t xml:space="preserve">Paracetamol </t>
    </r>
    <r>
      <rPr>
        <sz val="11"/>
        <color theme="1"/>
        <rFont val="宋体"/>
        <charset val="134"/>
      </rPr>
      <t>↓</t>
    </r>
  </si>
  <si>
    <r>
      <rPr>
        <sz val="11"/>
        <color theme="1"/>
        <rFont val="Arial"/>
        <charset val="134"/>
      </rPr>
      <t xml:space="preserve">Salicylic </t>
    </r>
    <r>
      <rPr>
        <sz val="11"/>
        <color theme="1"/>
        <rFont val="宋体"/>
        <charset val="134"/>
      </rPr>
      <t>↓</t>
    </r>
  </si>
  <si>
    <r>
      <rPr>
        <sz val="11"/>
        <color theme="1"/>
        <rFont val="Arial"/>
        <charset val="134"/>
      </rPr>
      <t xml:space="preserve">Toluene </t>
    </r>
    <r>
      <rPr>
        <sz val="11"/>
        <color theme="1"/>
        <rFont val="宋体"/>
        <charset val="134"/>
      </rPr>
      <t>↓</t>
    </r>
  </si>
  <si>
    <r>
      <rPr>
        <sz val="11"/>
        <color theme="1"/>
        <rFont val="Arial"/>
        <charset val="134"/>
      </rPr>
      <t xml:space="preserve">Uracil </t>
    </r>
    <r>
      <rPr>
        <sz val="11"/>
        <color theme="1"/>
        <rFont val="宋体"/>
        <charset val="134"/>
      </rPr>
      <t>↓</t>
    </r>
  </si>
  <si>
    <t>Energy</t>
  </si>
  <si>
    <t>重新跑</t>
  </si>
  <si>
    <t>Force</t>
  </si>
  <si>
    <t>SchNet w/ ED and Evaluator (mean_std)</t>
  </si>
  <si>
    <r>
      <rPr>
        <sz val="11"/>
        <color theme="1"/>
        <rFont val="Arial"/>
        <charset val="134"/>
      </rPr>
      <t xml:space="preserve">batch = 1 </t>
    </r>
    <r>
      <rPr>
        <sz val="11"/>
        <color theme="1"/>
        <rFont val="宋体"/>
        <charset val="134"/>
      </rPr>
      <t>只能使用全局的来指导，不能使用局部</t>
    </r>
  </si>
  <si>
    <t>ViSNet</t>
  </si>
  <si>
    <t>NC 2024</t>
  </si>
  <si>
    <t>训练一次跑1天，跑的时候，先调4个超参数</t>
  </si>
  <si>
    <t>ViSNet w/ ED</t>
  </si>
  <si>
    <t>ViSNet w/ ED and Evaluator</t>
  </si>
  <si>
    <t>ViSNet w/ KD</t>
  </si>
  <si>
    <t>EER_ViSNet</t>
  </si>
  <si>
    <t>SchNet-QM9-alpha</t>
  </si>
  <si>
    <t>IEMv2</t>
  </si>
  <si>
    <t>Valid</t>
  </si>
  <si>
    <t>Test</t>
  </si>
  <si>
    <t>rMD17 的 Energy 上的平均性能</t>
  </si>
  <si>
    <t>w/o EDG</t>
  </si>
  <si>
    <t>w/ EDG</t>
  </si>
  <si>
    <t>w/ EDG++</t>
  </si>
  <si>
    <t>QM9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</si>
</sst>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);[Red]\(0.00000\)"/>
    <numFmt numFmtId="177" formatCode="&quot;↑&quot;0.0%"/>
    <numFmt numFmtId="178" formatCode="0.000_);[Red]\(0.000\)"/>
  </numFmts>
  <fonts count="35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theme="1"/>
      <name val="宋体"/>
      <charset val="134"/>
    </font>
    <font>
      <sz val="11"/>
      <name val="Arial"/>
      <charset val="134"/>
    </font>
    <font>
      <sz val="11"/>
      <color theme="9" tint="-0.249977111117893"/>
      <name val="Arial"/>
      <charset val="134"/>
    </font>
    <font>
      <sz val="11"/>
      <color theme="9" tint="-0.249977111117893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1"/>
      <color rgb="FF0070C0"/>
      <name val="宋体"/>
      <charset val="134"/>
      <scheme val="minor"/>
    </font>
    <font>
      <b/>
      <sz val="11"/>
      <color theme="1"/>
      <name val="Arial"/>
      <charset val="134"/>
    </font>
    <font>
      <b/>
      <sz val="11"/>
      <color theme="1"/>
      <name val="宋体"/>
      <charset val="134"/>
      <scheme val="minor"/>
    </font>
    <font>
      <sz val="11"/>
      <color theme="1"/>
      <name val="Calibri"/>
      <charset val="161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"/>
    </font>
    <font>
      <sz val="11"/>
      <color theme="1"/>
      <name val="Cambria Math"/>
      <charset val="134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12" applyNumberFormat="0" applyAlignment="0" applyProtection="0">
      <alignment vertical="center"/>
    </xf>
    <xf numFmtId="0" fontId="21" fillId="10" borderId="13" applyNumberFormat="0" applyAlignment="0" applyProtection="0">
      <alignment vertical="center"/>
    </xf>
    <xf numFmtId="0" fontId="22" fillId="10" borderId="12" applyNumberFormat="0" applyAlignment="0" applyProtection="0">
      <alignment vertical="center"/>
    </xf>
    <xf numFmtId="0" fontId="23" fillId="11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/>
    </xf>
    <xf numFmtId="177" fontId="6" fillId="4" borderId="1" xfId="0" applyNumberFormat="1" applyFont="1" applyFill="1" applyBorder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77" fontId="7" fillId="4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76" fontId="8" fillId="5" borderId="1" xfId="0" applyNumberFormat="1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6" borderId="0" xfId="0" applyFont="1" applyFill="1" applyAlignment="1">
      <alignment horizontal="center" vertical="center"/>
    </xf>
    <xf numFmtId="176" fontId="0" fillId="2" borderId="1" xfId="0" applyNumberFormat="1" applyFont="1" applyFill="1" applyBorder="1" applyAlignment="1">
      <alignment horizontal="center" vertical="center"/>
    </xf>
    <xf numFmtId="178" fontId="0" fillId="2" borderId="1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176" fontId="0" fillId="3" borderId="1" xfId="0" applyNumberFormat="1" applyFont="1" applyFill="1" applyBorder="1" applyAlignment="1">
      <alignment horizontal="center" vertical="center"/>
    </xf>
    <xf numFmtId="178" fontId="0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7" fontId="0" fillId="0" borderId="0" xfId="0" applyNumberFormat="1">
      <alignment vertical="center"/>
    </xf>
    <xf numFmtId="0" fontId="0" fillId="5" borderId="1" xfId="0" applyFont="1" applyFill="1" applyBorder="1" applyAlignment="1">
      <alignment horizontal="center" vertical="center"/>
    </xf>
    <xf numFmtId="176" fontId="9" fillId="5" borderId="1" xfId="0" applyNumberFormat="1" applyFont="1" applyFill="1" applyBorder="1" applyAlignment="1">
      <alignment horizontal="center" vertical="center"/>
    </xf>
    <xf numFmtId="178" fontId="9" fillId="5" borderId="1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1" fillId="7" borderId="0" xfId="0" applyFont="1" applyFill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记录!$D$3</c:f>
              <c:strCache>
                <c:ptCount val="1"/>
                <c:pt idx="0">
                  <c:v>Valid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记录!$D$4:$D$907</c:f>
              <c:numCache>
                <c:formatCode>General</c:formatCode>
                <c:ptCount val="904"/>
                <c:pt idx="0">
                  <c:v>1.164167</c:v>
                </c:pt>
                <c:pt idx="1">
                  <c:v>0.617016</c:v>
                </c:pt>
                <c:pt idx="2">
                  <c:v>0.54642</c:v>
                </c:pt>
                <c:pt idx="3">
                  <c:v>0.437559</c:v>
                </c:pt>
                <c:pt idx="4">
                  <c:v>0.418151</c:v>
                </c:pt>
                <c:pt idx="5">
                  <c:v>0.377666</c:v>
                </c:pt>
                <c:pt idx="6">
                  <c:v>0.384168</c:v>
                </c:pt>
                <c:pt idx="7">
                  <c:v>0.396397</c:v>
                </c:pt>
                <c:pt idx="8">
                  <c:v>0.296302</c:v>
                </c:pt>
                <c:pt idx="9">
                  <c:v>0.465855</c:v>
                </c:pt>
                <c:pt idx="10">
                  <c:v>0.350556</c:v>
                </c:pt>
                <c:pt idx="11">
                  <c:v>0.313124</c:v>
                </c:pt>
                <c:pt idx="12">
                  <c:v>0.263699</c:v>
                </c:pt>
                <c:pt idx="13">
                  <c:v>0.271977</c:v>
                </c:pt>
                <c:pt idx="14">
                  <c:v>0.380497</c:v>
                </c:pt>
                <c:pt idx="15">
                  <c:v>0.729638</c:v>
                </c:pt>
                <c:pt idx="16">
                  <c:v>0.295511</c:v>
                </c:pt>
                <c:pt idx="17">
                  <c:v>0.250051</c:v>
                </c:pt>
                <c:pt idx="18">
                  <c:v>0.311088</c:v>
                </c:pt>
                <c:pt idx="19">
                  <c:v>0.222271</c:v>
                </c:pt>
                <c:pt idx="20">
                  <c:v>0.211607</c:v>
                </c:pt>
                <c:pt idx="21">
                  <c:v>0.321308</c:v>
                </c:pt>
                <c:pt idx="22">
                  <c:v>0.227931</c:v>
                </c:pt>
                <c:pt idx="23">
                  <c:v>0.239317</c:v>
                </c:pt>
                <c:pt idx="24">
                  <c:v>0.195118</c:v>
                </c:pt>
                <c:pt idx="25">
                  <c:v>0.212304</c:v>
                </c:pt>
                <c:pt idx="26">
                  <c:v>0.251378</c:v>
                </c:pt>
                <c:pt idx="27">
                  <c:v>0.4569</c:v>
                </c:pt>
                <c:pt idx="28">
                  <c:v>0.217098</c:v>
                </c:pt>
                <c:pt idx="29">
                  <c:v>0.198583</c:v>
                </c:pt>
                <c:pt idx="30">
                  <c:v>0.182451</c:v>
                </c:pt>
                <c:pt idx="31">
                  <c:v>0.184092</c:v>
                </c:pt>
                <c:pt idx="32">
                  <c:v>0.227421</c:v>
                </c:pt>
                <c:pt idx="33">
                  <c:v>0.222999</c:v>
                </c:pt>
                <c:pt idx="34">
                  <c:v>0.230677</c:v>
                </c:pt>
                <c:pt idx="35">
                  <c:v>0.251651</c:v>
                </c:pt>
                <c:pt idx="36">
                  <c:v>0.159387</c:v>
                </c:pt>
                <c:pt idx="37">
                  <c:v>0.196967</c:v>
                </c:pt>
                <c:pt idx="38">
                  <c:v>0.163486</c:v>
                </c:pt>
                <c:pt idx="39">
                  <c:v>0.194864</c:v>
                </c:pt>
                <c:pt idx="40">
                  <c:v>0.258423</c:v>
                </c:pt>
                <c:pt idx="41">
                  <c:v>0.200703</c:v>
                </c:pt>
                <c:pt idx="42">
                  <c:v>0.185734</c:v>
                </c:pt>
                <c:pt idx="43">
                  <c:v>0.181933</c:v>
                </c:pt>
                <c:pt idx="44">
                  <c:v>0.447315</c:v>
                </c:pt>
                <c:pt idx="45">
                  <c:v>0.171749</c:v>
                </c:pt>
                <c:pt idx="46">
                  <c:v>0.167407</c:v>
                </c:pt>
                <c:pt idx="47">
                  <c:v>0.219747</c:v>
                </c:pt>
                <c:pt idx="48">
                  <c:v>0.22632</c:v>
                </c:pt>
                <c:pt idx="49">
                  <c:v>0.160409</c:v>
                </c:pt>
                <c:pt idx="50">
                  <c:v>0.181256</c:v>
                </c:pt>
                <c:pt idx="51">
                  <c:v>0.155422</c:v>
                </c:pt>
                <c:pt idx="52">
                  <c:v>0.212671</c:v>
                </c:pt>
                <c:pt idx="53">
                  <c:v>0.185735</c:v>
                </c:pt>
                <c:pt idx="54">
                  <c:v>0.164327</c:v>
                </c:pt>
                <c:pt idx="55">
                  <c:v>0.183693</c:v>
                </c:pt>
                <c:pt idx="56">
                  <c:v>0.180496</c:v>
                </c:pt>
                <c:pt idx="57">
                  <c:v>0.197709</c:v>
                </c:pt>
                <c:pt idx="58">
                  <c:v>0.150671</c:v>
                </c:pt>
                <c:pt idx="59">
                  <c:v>0.169139</c:v>
                </c:pt>
                <c:pt idx="60">
                  <c:v>0.163217</c:v>
                </c:pt>
                <c:pt idx="61">
                  <c:v>0.142129</c:v>
                </c:pt>
                <c:pt idx="62">
                  <c:v>0.165294</c:v>
                </c:pt>
                <c:pt idx="63">
                  <c:v>0.217607</c:v>
                </c:pt>
                <c:pt idx="64">
                  <c:v>0.14643</c:v>
                </c:pt>
                <c:pt idx="65">
                  <c:v>0.139586</c:v>
                </c:pt>
                <c:pt idx="66">
                  <c:v>0.170211</c:v>
                </c:pt>
                <c:pt idx="67">
                  <c:v>0.358327</c:v>
                </c:pt>
                <c:pt idx="68">
                  <c:v>0.175492</c:v>
                </c:pt>
                <c:pt idx="69">
                  <c:v>0.155011</c:v>
                </c:pt>
                <c:pt idx="70">
                  <c:v>0.148496</c:v>
                </c:pt>
                <c:pt idx="71">
                  <c:v>0.157823</c:v>
                </c:pt>
                <c:pt idx="72">
                  <c:v>0.138694</c:v>
                </c:pt>
                <c:pt idx="73">
                  <c:v>0.155786</c:v>
                </c:pt>
                <c:pt idx="74">
                  <c:v>0.136106</c:v>
                </c:pt>
                <c:pt idx="75">
                  <c:v>0.149575</c:v>
                </c:pt>
                <c:pt idx="76">
                  <c:v>0.162307</c:v>
                </c:pt>
                <c:pt idx="77">
                  <c:v>0.135434</c:v>
                </c:pt>
                <c:pt idx="78">
                  <c:v>0.175532</c:v>
                </c:pt>
                <c:pt idx="79">
                  <c:v>0.131485</c:v>
                </c:pt>
                <c:pt idx="80">
                  <c:v>0.159187</c:v>
                </c:pt>
                <c:pt idx="81">
                  <c:v>0.145993</c:v>
                </c:pt>
                <c:pt idx="82">
                  <c:v>0.145139</c:v>
                </c:pt>
                <c:pt idx="83">
                  <c:v>0.13747</c:v>
                </c:pt>
                <c:pt idx="84">
                  <c:v>0.150298</c:v>
                </c:pt>
                <c:pt idx="85">
                  <c:v>0.139783</c:v>
                </c:pt>
                <c:pt idx="86">
                  <c:v>0.151299</c:v>
                </c:pt>
                <c:pt idx="87">
                  <c:v>0.136979</c:v>
                </c:pt>
                <c:pt idx="88">
                  <c:v>0.185273</c:v>
                </c:pt>
                <c:pt idx="89">
                  <c:v>0.194733</c:v>
                </c:pt>
                <c:pt idx="90">
                  <c:v>0.172642</c:v>
                </c:pt>
                <c:pt idx="91">
                  <c:v>0.139819</c:v>
                </c:pt>
                <c:pt idx="92">
                  <c:v>0.156369</c:v>
                </c:pt>
                <c:pt idx="93">
                  <c:v>0.139503</c:v>
                </c:pt>
                <c:pt idx="94">
                  <c:v>0.139186</c:v>
                </c:pt>
                <c:pt idx="95">
                  <c:v>0.141003</c:v>
                </c:pt>
                <c:pt idx="96">
                  <c:v>0.143577</c:v>
                </c:pt>
                <c:pt idx="97">
                  <c:v>0.146459</c:v>
                </c:pt>
                <c:pt idx="98">
                  <c:v>0.132982</c:v>
                </c:pt>
                <c:pt idx="99">
                  <c:v>0.147369</c:v>
                </c:pt>
                <c:pt idx="100">
                  <c:v>0.206571</c:v>
                </c:pt>
                <c:pt idx="101">
                  <c:v>0.136816</c:v>
                </c:pt>
                <c:pt idx="102">
                  <c:v>0.292304</c:v>
                </c:pt>
                <c:pt idx="103">
                  <c:v>0.131715</c:v>
                </c:pt>
                <c:pt idx="104">
                  <c:v>0.132095</c:v>
                </c:pt>
                <c:pt idx="105">
                  <c:v>0.125836</c:v>
                </c:pt>
                <c:pt idx="106">
                  <c:v>0.137335</c:v>
                </c:pt>
                <c:pt idx="107">
                  <c:v>0.132798</c:v>
                </c:pt>
                <c:pt idx="108">
                  <c:v>0.142693</c:v>
                </c:pt>
                <c:pt idx="109">
                  <c:v>0.131979</c:v>
                </c:pt>
                <c:pt idx="110">
                  <c:v>0.160423</c:v>
                </c:pt>
                <c:pt idx="111">
                  <c:v>0.149545</c:v>
                </c:pt>
                <c:pt idx="112">
                  <c:v>0.130744</c:v>
                </c:pt>
                <c:pt idx="113">
                  <c:v>0.123265</c:v>
                </c:pt>
                <c:pt idx="114">
                  <c:v>0.123234</c:v>
                </c:pt>
                <c:pt idx="115">
                  <c:v>0.125549</c:v>
                </c:pt>
                <c:pt idx="116">
                  <c:v>0.137008</c:v>
                </c:pt>
                <c:pt idx="117">
                  <c:v>0.14083</c:v>
                </c:pt>
                <c:pt idx="118">
                  <c:v>0.132691</c:v>
                </c:pt>
                <c:pt idx="119">
                  <c:v>0.135189</c:v>
                </c:pt>
                <c:pt idx="120">
                  <c:v>0.136391</c:v>
                </c:pt>
                <c:pt idx="121">
                  <c:v>0.15289</c:v>
                </c:pt>
                <c:pt idx="122">
                  <c:v>0.124377</c:v>
                </c:pt>
                <c:pt idx="123">
                  <c:v>0.118118</c:v>
                </c:pt>
                <c:pt idx="124">
                  <c:v>0.158468</c:v>
                </c:pt>
                <c:pt idx="125">
                  <c:v>0.125917</c:v>
                </c:pt>
                <c:pt idx="126">
                  <c:v>0.12588</c:v>
                </c:pt>
                <c:pt idx="127">
                  <c:v>0.132073</c:v>
                </c:pt>
                <c:pt idx="128">
                  <c:v>0.112154</c:v>
                </c:pt>
                <c:pt idx="129">
                  <c:v>0.142864</c:v>
                </c:pt>
                <c:pt idx="130">
                  <c:v>0.125886</c:v>
                </c:pt>
                <c:pt idx="131">
                  <c:v>0.125513</c:v>
                </c:pt>
                <c:pt idx="132">
                  <c:v>0.143203</c:v>
                </c:pt>
                <c:pt idx="133">
                  <c:v>0.160251</c:v>
                </c:pt>
                <c:pt idx="134">
                  <c:v>0.130462</c:v>
                </c:pt>
                <c:pt idx="135">
                  <c:v>0.136156</c:v>
                </c:pt>
                <c:pt idx="136">
                  <c:v>0.226164</c:v>
                </c:pt>
                <c:pt idx="137">
                  <c:v>0.1211</c:v>
                </c:pt>
                <c:pt idx="138">
                  <c:v>0.130323</c:v>
                </c:pt>
                <c:pt idx="139">
                  <c:v>0.125669</c:v>
                </c:pt>
                <c:pt idx="140">
                  <c:v>0.144325</c:v>
                </c:pt>
                <c:pt idx="141">
                  <c:v>0.11772</c:v>
                </c:pt>
                <c:pt idx="142">
                  <c:v>0.118665</c:v>
                </c:pt>
                <c:pt idx="143">
                  <c:v>0.123618</c:v>
                </c:pt>
                <c:pt idx="144">
                  <c:v>0.124518</c:v>
                </c:pt>
                <c:pt idx="145">
                  <c:v>0.161996</c:v>
                </c:pt>
                <c:pt idx="146">
                  <c:v>0.115611</c:v>
                </c:pt>
                <c:pt idx="147">
                  <c:v>0.130062</c:v>
                </c:pt>
                <c:pt idx="148">
                  <c:v>0.14039</c:v>
                </c:pt>
                <c:pt idx="149">
                  <c:v>0.141495</c:v>
                </c:pt>
                <c:pt idx="150">
                  <c:v>0.12965</c:v>
                </c:pt>
                <c:pt idx="151">
                  <c:v>0.129566</c:v>
                </c:pt>
                <c:pt idx="152">
                  <c:v>0.138218</c:v>
                </c:pt>
                <c:pt idx="153">
                  <c:v>0.121821</c:v>
                </c:pt>
                <c:pt idx="154">
                  <c:v>0.115587</c:v>
                </c:pt>
                <c:pt idx="155">
                  <c:v>0.140089</c:v>
                </c:pt>
                <c:pt idx="156">
                  <c:v>0.118068</c:v>
                </c:pt>
                <c:pt idx="157">
                  <c:v>0.116884</c:v>
                </c:pt>
                <c:pt idx="158">
                  <c:v>0.122045</c:v>
                </c:pt>
                <c:pt idx="159">
                  <c:v>0.11168</c:v>
                </c:pt>
                <c:pt idx="160">
                  <c:v>0.116263</c:v>
                </c:pt>
                <c:pt idx="161">
                  <c:v>0.118332</c:v>
                </c:pt>
                <c:pt idx="162">
                  <c:v>0.114796</c:v>
                </c:pt>
                <c:pt idx="163">
                  <c:v>0.138211</c:v>
                </c:pt>
                <c:pt idx="164">
                  <c:v>0.108067</c:v>
                </c:pt>
                <c:pt idx="165">
                  <c:v>0.120681</c:v>
                </c:pt>
                <c:pt idx="166">
                  <c:v>0.134641</c:v>
                </c:pt>
                <c:pt idx="167">
                  <c:v>0.112078</c:v>
                </c:pt>
                <c:pt idx="168">
                  <c:v>0.111388</c:v>
                </c:pt>
                <c:pt idx="169">
                  <c:v>0.116194</c:v>
                </c:pt>
                <c:pt idx="170">
                  <c:v>0.110735</c:v>
                </c:pt>
                <c:pt idx="171">
                  <c:v>0.130956</c:v>
                </c:pt>
                <c:pt idx="172">
                  <c:v>0.124978</c:v>
                </c:pt>
                <c:pt idx="173">
                  <c:v>0.131981</c:v>
                </c:pt>
                <c:pt idx="174">
                  <c:v>0.112032</c:v>
                </c:pt>
                <c:pt idx="175">
                  <c:v>0.122377</c:v>
                </c:pt>
                <c:pt idx="176">
                  <c:v>0.117704</c:v>
                </c:pt>
                <c:pt idx="177">
                  <c:v>0.113691</c:v>
                </c:pt>
                <c:pt idx="178">
                  <c:v>0.106402</c:v>
                </c:pt>
                <c:pt idx="179">
                  <c:v>0.110131</c:v>
                </c:pt>
                <c:pt idx="180">
                  <c:v>0.105639</c:v>
                </c:pt>
                <c:pt idx="181">
                  <c:v>0.166085</c:v>
                </c:pt>
                <c:pt idx="182">
                  <c:v>0.117537</c:v>
                </c:pt>
                <c:pt idx="183">
                  <c:v>0.12001</c:v>
                </c:pt>
                <c:pt idx="184">
                  <c:v>0.111209</c:v>
                </c:pt>
                <c:pt idx="185">
                  <c:v>0.132989</c:v>
                </c:pt>
                <c:pt idx="186">
                  <c:v>0.107273</c:v>
                </c:pt>
                <c:pt idx="187">
                  <c:v>0.145186</c:v>
                </c:pt>
                <c:pt idx="188">
                  <c:v>0.108823</c:v>
                </c:pt>
                <c:pt idx="189">
                  <c:v>0.109872</c:v>
                </c:pt>
                <c:pt idx="190">
                  <c:v>0.1201</c:v>
                </c:pt>
                <c:pt idx="191">
                  <c:v>0.114323</c:v>
                </c:pt>
                <c:pt idx="192">
                  <c:v>0.109273</c:v>
                </c:pt>
                <c:pt idx="193">
                  <c:v>0.142696</c:v>
                </c:pt>
                <c:pt idx="194">
                  <c:v>0.105513</c:v>
                </c:pt>
                <c:pt idx="195">
                  <c:v>0.13976</c:v>
                </c:pt>
                <c:pt idx="196">
                  <c:v>0.129144</c:v>
                </c:pt>
                <c:pt idx="197">
                  <c:v>0.105962</c:v>
                </c:pt>
                <c:pt idx="198">
                  <c:v>0.111574</c:v>
                </c:pt>
                <c:pt idx="199">
                  <c:v>0.110264</c:v>
                </c:pt>
                <c:pt idx="200">
                  <c:v>0.124234</c:v>
                </c:pt>
                <c:pt idx="201">
                  <c:v>0.126646</c:v>
                </c:pt>
                <c:pt idx="202">
                  <c:v>0.128367</c:v>
                </c:pt>
                <c:pt idx="203">
                  <c:v>0.108323</c:v>
                </c:pt>
                <c:pt idx="204">
                  <c:v>0.106156</c:v>
                </c:pt>
                <c:pt idx="205">
                  <c:v>0.132978</c:v>
                </c:pt>
                <c:pt idx="206">
                  <c:v>0.101308</c:v>
                </c:pt>
                <c:pt idx="207">
                  <c:v>0.109202</c:v>
                </c:pt>
                <c:pt idx="208">
                  <c:v>0.110852</c:v>
                </c:pt>
                <c:pt idx="209">
                  <c:v>0.114156</c:v>
                </c:pt>
                <c:pt idx="210">
                  <c:v>0.11984</c:v>
                </c:pt>
                <c:pt idx="211">
                  <c:v>0.114965</c:v>
                </c:pt>
                <c:pt idx="212">
                  <c:v>0.110316</c:v>
                </c:pt>
                <c:pt idx="213">
                  <c:v>0.115534</c:v>
                </c:pt>
                <c:pt idx="214">
                  <c:v>0.106686</c:v>
                </c:pt>
                <c:pt idx="215">
                  <c:v>0.13517</c:v>
                </c:pt>
                <c:pt idx="216">
                  <c:v>0.110107</c:v>
                </c:pt>
                <c:pt idx="217">
                  <c:v>0.115782</c:v>
                </c:pt>
                <c:pt idx="218">
                  <c:v>0.115774</c:v>
                </c:pt>
                <c:pt idx="219">
                  <c:v>0.102609</c:v>
                </c:pt>
                <c:pt idx="220">
                  <c:v>0.110887</c:v>
                </c:pt>
                <c:pt idx="221">
                  <c:v>0.108025</c:v>
                </c:pt>
                <c:pt idx="222">
                  <c:v>0.127973</c:v>
                </c:pt>
                <c:pt idx="223">
                  <c:v>0.103022</c:v>
                </c:pt>
                <c:pt idx="224">
                  <c:v>0.116628</c:v>
                </c:pt>
                <c:pt idx="225">
                  <c:v>0.13228</c:v>
                </c:pt>
                <c:pt idx="226">
                  <c:v>0.113404</c:v>
                </c:pt>
                <c:pt idx="227">
                  <c:v>0.12213</c:v>
                </c:pt>
                <c:pt idx="228">
                  <c:v>0.107711</c:v>
                </c:pt>
                <c:pt idx="229">
                  <c:v>0.109895</c:v>
                </c:pt>
                <c:pt idx="230">
                  <c:v>0.113221</c:v>
                </c:pt>
                <c:pt idx="231">
                  <c:v>0.113091</c:v>
                </c:pt>
                <c:pt idx="232">
                  <c:v>0.124746</c:v>
                </c:pt>
                <c:pt idx="233">
                  <c:v>0.108688</c:v>
                </c:pt>
                <c:pt idx="234">
                  <c:v>0.11515</c:v>
                </c:pt>
                <c:pt idx="235">
                  <c:v>0.100596</c:v>
                </c:pt>
                <c:pt idx="236">
                  <c:v>0.122967</c:v>
                </c:pt>
                <c:pt idx="237">
                  <c:v>0.119485</c:v>
                </c:pt>
                <c:pt idx="238">
                  <c:v>0.114148</c:v>
                </c:pt>
                <c:pt idx="239">
                  <c:v>0.100162</c:v>
                </c:pt>
                <c:pt idx="240">
                  <c:v>0.108048</c:v>
                </c:pt>
                <c:pt idx="241">
                  <c:v>0.110176</c:v>
                </c:pt>
                <c:pt idx="242">
                  <c:v>0.106921</c:v>
                </c:pt>
                <c:pt idx="243">
                  <c:v>0.102619</c:v>
                </c:pt>
                <c:pt idx="244">
                  <c:v>0.125773</c:v>
                </c:pt>
                <c:pt idx="245">
                  <c:v>0.117353</c:v>
                </c:pt>
                <c:pt idx="246">
                  <c:v>0.114356</c:v>
                </c:pt>
                <c:pt idx="247">
                  <c:v>0.102592</c:v>
                </c:pt>
                <c:pt idx="248">
                  <c:v>0.104438</c:v>
                </c:pt>
                <c:pt idx="249">
                  <c:v>0.114537</c:v>
                </c:pt>
                <c:pt idx="250">
                  <c:v>0.151987</c:v>
                </c:pt>
                <c:pt idx="251">
                  <c:v>0.109169</c:v>
                </c:pt>
                <c:pt idx="252">
                  <c:v>0.126064</c:v>
                </c:pt>
                <c:pt idx="253">
                  <c:v>0.118082</c:v>
                </c:pt>
                <c:pt idx="254">
                  <c:v>0.102032</c:v>
                </c:pt>
                <c:pt idx="255">
                  <c:v>0.11044</c:v>
                </c:pt>
                <c:pt idx="256">
                  <c:v>0.112038</c:v>
                </c:pt>
                <c:pt idx="257">
                  <c:v>0.103638</c:v>
                </c:pt>
                <c:pt idx="258">
                  <c:v>0.133556</c:v>
                </c:pt>
                <c:pt idx="259">
                  <c:v>0.098268</c:v>
                </c:pt>
                <c:pt idx="260">
                  <c:v>0.104936</c:v>
                </c:pt>
                <c:pt idx="261">
                  <c:v>0.109745</c:v>
                </c:pt>
                <c:pt idx="262">
                  <c:v>0.10047</c:v>
                </c:pt>
                <c:pt idx="263">
                  <c:v>0.110893</c:v>
                </c:pt>
                <c:pt idx="264">
                  <c:v>0.10082</c:v>
                </c:pt>
                <c:pt idx="265">
                  <c:v>0.102847</c:v>
                </c:pt>
                <c:pt idx="266">
                  <c:v>0.113371</c:v>
                </c:pt>
                <c:pt idx="267">
                  <c:v>0.099927</c:v>
                </c:pt>
                <c:pt idx="268">
                  <c:v>0.10218</c:v>
                </c:pt>
                <c:pt idx="269">
                  <c:v>0.112623</c:v>
                </c:pt>
                <c:pt idx="270">
                  <c:v>0.103265</c:v>
                </c:pt>
                <c:pt idx="271">
                  <c:v>0.102184</c:v>
                </c:pt>
                <c:pt idx="272">
                  <c:v>0.109455</c:v>
                </c:pt>
                <c:pt idx="273">
                  <c:v>0.099414</c:v>
                </c:pt>
                <c:pt idx="274">
                  <c:v>0.109994</c:v>
                </c:pt>
                <c:pt idx="275">
                  <c:v>0.100903</c:v>
                </c:pt>
                <c:pt idx="276">
                  <c:v>0.11544</c:v>
                </c:pt>
                <c:pt idx="277">
                  <c:v>0.104854</c:v>
                </c:pt>
                <c:pt idx="278">
                  <c:v>0.100259</c:v>
                </c:pt>
                <c:pt idx="279">
                  <c:v>0.098489</c:v>
                </c:pt>
                <c:pt idx="280">
                  <c:v>0.094926</c:v>
                </c:pt>
                <c:pt idx="281">
                  <c:v>0.094212</c:v>
                </c:pt>
                <c:pt idx="282">
                  <c:v>0.098265</c:v>
                </c:pt>
                <c:pt idx="283">
                  <c:v>0.105503</c:v>
                </c:pt>
                <c:pt idx="284">
                  <c:v>0.114111</c:v>
                </c:pt>
                <c:pt idx="285">
                  <c:v>0.09872</c:v>
                </c:pt>
                <c:pt idx="286">
                  <c:v>0.110624</c:v>
                </c:pt>
                <c:pt idx="287">
                  <c:v>0.103195</c:v>
                </c:pt>
                <c:pt idx="288">
                  <c:v>0.112444</c:v>
                </c:pt>
                <c:pt idx="289">
                  <c:v>0.09608</c:v>
                </c:pt>
                <c:pt idx="290">
                  <c:v>0.103317</c:v>
                </c:pt>
                <c:pt idx="291">
                  <c:v>0.101563</c:v>
                </c:pt>
                <c:pt idx="292">
                  <c:v>0.098374</c:v>
                </c:pt>
                <c:pt idx="293">
                  <c:v>0.101266</c:v>
                </c:pt>
                <c:pt idx="294">
                  <c:v>0.132743</c:v>
                </c:pt>
                <c:pt idx="295">
                  <c:v>0.113112</c:v>
                </c:pt>
                <c:pt idx="296">
                  <c:v>0.105106</c:v>
                </c:pt>
                <c:pt idx="297">
                  <c:v>0.109315</c:v>
                </c:pt>
                <c:pt idx="298">
                  <c:v>0.096828</c:v>
                </c:pt>
                <c:pt idx="299">
                  <c:v>0.107042</c:v>
                </c:pt>
                <c:pt idx="300">
                  <c:v>0.095476</c:v>
                </c:pt>
                <c:pt idx="301">
                  <c:v>0.099482</c:v>
                </c:pt>
                <c:pt idx="302">
                  <c:v>0.102294</c:v>
                </c:pt>
                <c:pt idx="303">
                  <c:v>0.105152</c:v>
                </c:pt>
                <c:pt idx="304">
                  <c:v>0.110701</c:v>
                </c:pt>
                <c:pt idx="305">
                  <c:v>0.092729</c:v>
                </c:pt>
                <c:pt idx="306">
                  <c:v>0.102242</c:v>
                </c:pt>
                <c:pt idx="307">
                  <c:v>0.095842</c:v>
                </c:pt>
                <c:pt idx="308">
                  <c:v>0.093327</c:v>
                </c:pt>
                <c:pt idx="309">
                  <c:v>0.098561</c:v>
                </c:pt>
                <c:pt idx="310">
                  <c:v>0.105613</c:v>
                </c:pt>
                <c:pt idx="311">
                  <c:v>0.098902</c:v>
                </c:pt>
                <c:pt idx="312">
                  <c:v>0.091893</c:v>
                </c:pt>
                <c:pt idx="313">
                  <c:v>0.116478</c:v>
                </c:pt>
                <c:pt idx="314">
                  <c:v>0.099782</c:v>
                </c:pt>
                <c:pt idx="315">
                  <c:v>0.095814</c:v>
                </c:pt>
                <c:pt idx="316">
                  <c:v>0.097955</c:v>
                </c:pt>
                <c:pt idx="317">
                  <c:v>0.10174</c:v>
                </c:pt>
                <c:pt idx="318">
                  <c:v>0.091781</c:v>
                </c:pt>
                <c:pt idx="319">
                  <c:v>0.093184</c:v>
                </c:pt>
                <c:pt idx="320">
                  <c:v>0.096572</c:v>
                </c:pt>
                <c:pt idx="321">
                  <c:v>0.097489</c:v>
                </c:pt>
                <c:pt idx="322">
                  <c:v>0.098549</c:v>
                </c:pt>
                <c:pt idx="323">
                  <c:v>0.091837</c:v>
                </c:pt>
                <c:pt idx="324">
                  <c:v>0.092437</c:v>
                </c:pt>
                <c:pt idx="325">
                  <c:v>0.1071</c:v>
                </c:pt>
                <c:pt idx="326">
                  <c:v>0.102734</c:v>
                </c:pt>
                <c:pt idx="327">
                  <c:v>0.093278</c:v>
                </c:pt>
                <c:pt idx="328">
                  <c:v>0.093174</c:v>
                </c:pt>
                <c:pt idx="329">
                  <c:v>0.109016</c:v>
                </c:pt>
                <c:pt idx="330">
                  <c:v>0.098613</c:v>
                </c:pt>
                <c:pt idx="331">
                  <c:v>0.096701</c:v>
                </c:pt>
                <c:pt idx="332">
                  <c:v>0.101737</c:v>
                </c:pt>
                <c:pt idx="333">
                  <c:v>0.093214</c:v>
                </c:pt>
                <c:pt idx="334">
                  <c:v>0.108724</c:v>
                </c:pt>
                <c:pt idx="335">
                  <c:v>0.104994</c:v>
                </c:pt>
                <c:pt idx="336">
                  <c:v>0.09212</c:v>
                </c:pt>
                <c:pt idx="337">
                  <c:v>0.096075</c:v>
                </c:pt>
                <c:pt idx="338">
                  <c:v>0.100528</c:v>
                </c:pt>
                <c:pt idx="339">
                  <c:v>0.090967</c:v>
                </c:pt>
                <c:pt idx="340">
                  <c:v>0.093432</c:v>
                </c:pt>
                <c:pt idx="341">
                  <c:v>0.088943</c:v>
                </c:pt>
                <c:pt idx="342">
                  <c:v>0.100027</c:v>
                </c:pt>
                <c:pt idx="343">
                  <c:v>0.099202</c:v>
                </c:pt>
                <c:pt idx="344">
                  <c:v>0.090366</c:v>
                </c:pt>
                <c:pt idx="345">
                  <c:v>0.093576</c:v>
                </c:pt>
                <c:pt idx="346">
                  <c:v>0.091206</c:v>
                </c:pt>
                <c:pt idx="347">
                  <c:v>0.097563</c:v>
                </c:pt>
                <c:pt idx="348">
                  <c:v>0.092073</c:v>
                </c:pt>
                <c:pt idx="349">
                  <c:v>0.096524</c:v>
                </c:pt>
                <c:pt idx="350">
                  <c:v>0.11311</c:v>
                </c:pt>
                <c:pt idx="351">
                  <c:v>0.106289</c:v>
                </c:pt>
                <c:pt idx="352">
                  <c:v>0.093458</c:v>
                </c:pt>
                <c:pt idx="353">
                  <c:v>0.097535</c:v>
                </c:pt>
                <c:pt idx="354">
                  <c:v>0.110029</c:v>
                </c:pt>
                <c:pt idx="355">
                  <c:v>0.102201</c:v>
                </c:pt>
                <c:pt idx="356">
                  <c:v>0.092032</c:v>
                </c:pt>
                <c:pt idx="357">
                  <c:v>0.095133</c:v>
                </c:pt>
                <c:pt idx="358">
                  <c:v>0.098337</c:v>
                </c:pt>
                <c:pt idx="359">
                  <c:v>0.097612</c:v>
                </c:pt>
                <c:pt idx="360">
                  <c:v>0.09214</c:v>
                </c:pt>
                <c:pt idx="361">
                  <c:v>0.095403</c:v>
                </c:pt>
                <c:pt idx="362">
                  <c:v>0.093274</c:v>
                </c:pt>
                <c:pt idx="363">
                  <c:v>0.104085</c:v>
                </c:pt>
                <c:pt idx="364">
                  <c:v>0.09144</c:v>
                </c:pt>
                <c:pt idx="365">
                  <c:v>0.090093</c:v>
                </c:pt>
                <c:pt idx="366">
                  <c:v>0.090771</c:v>
                </c:pt>
                <c:pt idx="367">
                  <c:v>0.097421</c:v>
                </c:pt>
                <c:pt idx="368">
                  <c:v>0.088448</c:v>
                </c:pt>
                <c:pt idx="369">
                  <c:v>0.091672</c:v>
                </c:pt>
                <c:pt idx="370">
                  <c:v>0.088679</c:v>
                </c:pt>
                <c:pt idx="371">
                  <c:v>0.095982</c:v>
                </c:pt>
                <c:pt idx="372">
                  <c:v>0.101073</c:v>
                </c:pt>
                <c:pt idx="373">
                  <c:v>0.087738</c:v>
                </c:pt>
                <c:pt idx="374">
                  <c:v>0.095472</c:v>
                </c:pt>
                <c:pt idx="375">
                  <c:v>0.098998</c:v>
                </c:pt>
                <c:pt idx="376">
                  <c:v>0.088523</c:v>
                </c:pt>
                <c:pt idx="377">
                  <c:v>0.087881</c:v>
                </c:pt>
                <c:pt idx="378">
                  <c:v>0.108562</c:v>
                </c:pt>
                <c:pt idx="379">
                  <c:v>0.088757</c:v>
                </c:pt>
                <c:pt idx="380">
                  <c:v>0.098313</c:v>
                </c:pt>
                <c:pt idx="381">
                  <c:v>0.088517</c:v>
                </c:pt>
                <c:pt idx="382">
                  <c:v>0.101884</c:v>
                </c:pt>
                <c:pt idx="383">
                  <c:v>0.091141</c:v>
                </c:pt>
                <c:pt idx="384">
                  <c:v>0.104109</c:v>
                </c:pt>
                <c:pt idx="385">
                  <c:v>0.109863</c:v>
                </c:pt>
                <c:pt idx="386">
                  <c:v>0.085438</c:v>
                </c:pt>
                <c:pt idx="387">
                  <c:v>0.098926</c:v>
                </c:pt>
                <c:pt idx="388">
                  <c:v>0.091038</c:v>
                </c:pt>
                <c:pt idx="389">
                  <c:v>0.100456</c:v>
                </c:pt>
                <c:pt idx="390">
                  <c:v>0.089194</c:v>
                </c:pt>
                <c:pt idx="391">
                  <c:v>0.08994</c:v>
                </c:pt>
                <c:pt idx="392">
                  <c:v>0.109921</c:v>
                </c:pt>
                <c:pt idx="393">
                  <c:v>0.092156</c:v>
                </c:pt>
                <c:pt idx="394">
                  <c:v>0.093587</c:v>
                </c:pt>
                <c:pt idx="395">
                  <c:v>0.089367</c:v>
                </c:pt>
                <c:pt idx="396">
                  <c:v>0.094395</c:v>
                </c:pt>
                <c:pt idx="397">
                  <c:v>0.103104</c:v>
                </c:pt>
                <c:pt idx="398">
                  <c:v>0.082769</c:v>
                </c:pt>
                <c:pt idx="399">
                  <c:v>0.089437</c:v>
                </c:pt>
                <c:pt idx="400">
                  <c:v>0.096556</c:v>
                </c:pt>
                <c:pt idx="401">
                  <c:v>0.087051</c:v>
                </c:pt>
                <c:pt idx="402">
                  <c:v>0.09117</c:v>
                </c:pt>
                <c:pt idx="403">
                  <c:v>0.112985</c:v>
                </c:pt>
                <c:pt idx="404">
                  <c:v>0.09297</c:v>
                </c:pt>
                <c:pt idx="405">
                  <c:v>0.08918</c:v>
                </c:pt>
                <c:pt idx="406">
                  <c:v>0.085572</c:v>
                </c:pt>
                <c:pt idx="407">
                  <c:v>0.087414</c:v>
                </c:pt>
                <c:pt idx="408">
                  <c:v>0.09931</c:v>
                </c:pt>
                <c:pt idx="409">
                  <c:v>0.089113</c:v>
                </c:pt>
                <c:pt idx="410">
                  <c:v>0.094375</c:v>
                </c:pt>
                <c:pt idx="411">
                  <c:v>0.088727</c:v>
                </c:pt>
                <c:pt idx="412">
                  <c:v>0.089053</c:v>
                </c:pt>
                <c:pt idx="413">
                  <c:v>0.091589</c:v>
                </c:pt>
                <c:pt idx="414">
                  <c:v>0.093185</c:v>
                </c:pt>
                <c:pt idx="415">
                  <c:v>0.085108</c:v>
                </c:pt>
                <c:pt idx="416">
                  <c:v>0.088862</c:v>
                </c:pt>
                <c:pt idx="417">
                  <c:v>0.082749</c:v>
                </c:pt>
                <c:pt idx="418">
                  <c:v>0.089289</c:v>
                </c:pt>
                <c:pt idx="419">
                  <c:v>0.097598</c:v>
                </c:pt>
                <c:pt idx="420">
                  <c:v>0.096132</c:v>
                </c:pt>
                <c:pt idx="421">
                  <c:v>0.093496</c:v>
                </c:pt>
                <c:pt idx="422">
                  <c:v>0.086721</c:v>
                </c:pt>
                <c:pt idx="423">
                  <c:v>0.086203</c:v>
                </c:pt>
                <c:pt idx="424">
                  <c:v>0.089649</c:v>
                </c:pt>
                <c:pt idx="425">
                  <c:v>0.090634</c:v>
                </c:pt>
                <c:pt idx="426">
                  <c:v>0.087189</c:v>
                </c:pt>
                <c:pt idx="427">
                  <c:v>0.086904</c:v>
                </c:pt>
                <c:pt idx="428">
                  <c:v>0.090284</c:v>
                </c:pt>
                <c:pt idx="429">
                  <c:v>0.093066</c:v>
                </c:pt>
                <c:pt idx="430">
                  <c:v>0.083527</c:v>
                </c:pt>
                <c:pt idx="431">
                  <c:v>0.084081</c:v>
                </c:pt>
                <c:pt idx="432">
                  <c:v>0.085959</c:v>
                </c:pt>
                <c:pt idx="433">
                  <c:v>0.095279</c:v>
                </c:pt>
                <c:pt idx="434">
                  <c:v>0.083751</c:v>
                </c:pt>
                <c:pt idx="435">
                  <c:v>0.094075</c:v>
                </c:pt>
                <c:pt idx="436">
                  <c:v>0.085067</c:v>
                </c:pt>
                <c:pt idx="437">
                  <c:v>0.088235</c:v>
                </c:pt>
                <c:pt idx="438">
                  <c:v>0.085852</c:v>
                </c:pt>
                <c:pt idx="439">
                  <c:v>0.083961</c:v>
                </c:pt>
                <c:pt idx="440">
                  <c:v>0.088554</c:v>
                </c:pt>
                <c:pt idx="441">
                  <c:v>0.083178</c:v>
                </c:pt>
                <c:pt idx="442">
                  <c:v>0.108056</c:v>
                </c:pt>
                <c:pt idx="443">
                  <c:v>0.085064</c:v>
                </c:pt>
                <c:pt idx="444">
                  <c:v>0.100155</c:v>
                </c:pt>
                <c:pt idx="445">
                  <c:v>0.094949</c:v>
                </c:pt>
                <c:pt idx="446">
                  <c:v>0.087383</c:v>
                </c:pt>
                <c:pt idx="447">
                  <c:v>0.084807</c:v>
                </c:pt>
                <c:pt idx="448">
                  <c:v>0.087407</c:v>
                </c:pt>
                <c:pt idx="449">
                  <c:v>0.085208</c:v>
                </c:pt>
                <c:pt idx="450">
                  <c:v>0.088699</c:v>
                </c:pt>
                <c:pt idx="451">
                  <c:v>0.09991</c:v>
                </c:pt>
                <c:pt idx="452">
                  <c:v>0.083101</c:v>
                </c:pt>
                <c:pt idx="453">
                  <c:v>0.085459</c:v>
                </c:pt>
                <c:pt idx="454">
                  <c:v>0.083417</c:v>
                </c:pt>
                <c:pt idx="455">
                  <c:v>0.096662</c:v>
                </c:pt>
                <c:pt idx="456">
                  <c:v>0.083441</c:v>
                </c:pt>
                <c:pt idx="457">
                  <c:v>0.08139</c:v>
                </c:pt>
                <c:pt idx="458">
                  <c:v>0.08243</c:v>
                </c:pt>
                <c:pt idx="459">
                  <c:v>0.081978</c:v>
                </c:pt>
                <c:pt idx="460">
                  <c:v>0.085363</c:v>
                </c:pt>
                <c:pt idx="461">
                  <c:v>0.085955</c:v>
                </c:pt>
                <c:pt idx="462">
                  <c:v>0.090766</c:v>
                </c:pt>
                <c:pt idx="463">
                  <c:v>0.087045</c:v>
                </c:pt>
                <c:pt idx="464">
                  <c:v>0.091441</c:v>
                </c:pt>
                <c:pt idx="465">
                  <c:v>0.084519</c:v>
                </c:pt>
                <c:pt idx="466">
                  <c:v>0.086611</c:v>
                </c:pt>
                <c:pt idx="467">
                  <c:v>0.083475</c:v>
                </c:pt>
                <c:pt idx="468">
                  <c:v>0.084905</c:v>
                </c:pt>
                <c:pt idx="469">
                  <c:v>0.092694</c:v>
                </c:pt>
                <c:pt idx="470">
                  <c:v>0.086292</c:v>
                </c:pt>
                <c:pt idx="471">
                  <c:v>0.091147</c:v>
                </c:pt>
                <c:pt idx="472">
                  <c:v>0.103377</c:v>
                </c:pt>
                <c:pt idx="473">
                  <c:v>0.080851</c:v>
                </c:pt>
                <c:pt idx="474">
                  <c:v>0.082007</c:v>
                </c:pt>
                <c:pt idx="475">
                  <c:v>0.083127</c:v>
                </c:pt>
                <c:pt idx="476">
                  <c:v>0.084133</c:v>
                </c:pt>
                <c:pt idx="477">
                  <c:v>0.081926</c:v>
                </c:pt>
                <c:pt idx="478">
                  <c:v>0.087036</c:v>
                </c:pt>
                <c:pt idx="479">
                  <c:v>0.080101</c:v>
                </c:pt>
                <c:pt idx="480">
                  <c:v>0.080865</c:v>
                </c:pt>
                <c:pt idx="481">
                  <c:v>0.090163</c:v>
                </c:pt>
                <c:pt idx="482">
                  <c:v>0.08152</c:v>
                </c:pt>
                <c:pt idx="483">
                  <c:v>0.081844</c:v>
                </c:pt>
                <c:pt idx="484">
                  <c:v>0.083654</c:v>
                </c:pt>
                <c:pt idx="485">
                  <c:v>0.087403</c:v>
                </c:pt>
                <c:pt idx="486">
                  <c:v>0.081756</c:v>
                </c:pt>
                <c:pt idx="487">
                  <c:v>0.089142</c:v>
                </c:pt>
                <c:pt idx="488">
                  <c:v>0.091736</c:v>
                </c:pt>
                <c:pt idx="489">
                  <c:v>0.085246</c:v>
                </c:pt>
                <c:pt idx="490">
                  <c:v>0.090641</c:v>
                </c:pt>
                <c:pt idx="491">
                  <c:v>0.080433</c:v>
                </c:pt>
                <c:pt idx="492">
                  <c:v>0.091656</c:v>
                </c:pt>
                <c:pt idx="493">
                  <c:v>0.080631</c:v>
                </c:pt>
                <c:pt idx="494">
                  <c:v>0.086973</c:v>
                </c:pt>
                <c:pt idx="495">
                  <c:v>0.081036</c:v>
                </c:pt>
                <c:pt idx="496">
                  <c:v>0.082241</c:v>
                </c:pt>
                <c:pt idx="497">
                  <c:v>0.081026</c:v>
                </c:pt>
                <c:pt idx="498">
                  <c:v>0.083055</c:v>
                </c:pt>
                <c:pt idx="499">
                  <c:v>0.081298</c:v>
                </c:pt>
                <c:pt idx="500">
                  <c:v>0.080617</c:v>
                </c:pt>
                <c:pt idx="501">
                  <c:v>0.081007</c:v>
                </c:pt>
                <c:pt idx="502">
                  <c:v>0.084848</c:v>
                </c:pt>
                <c:pt idx="503">
                  <c:v>0.081364</c:v>
                </c:pt>
                <c:pt idx="504">
                  <c:v>0.079437</c:v>
                </c:pt>
                <c:pt idx="505">
                  <c:v>0.083963</c:v>
                </c:pt>
                <c:pt idx="506">
                  <c:v>0.084076</c:v>
                </c:pt>
                <c:pt idx="507">
                  <c:v>0.081766</c:v>
                </c:pt>
                <c:pt idx="508">
                  <c:v>0.083888</c:v>
                </c:pt>
                <c:pt idx="509">
                  <c:v>0.080341</c:v>
                </c:pt>
                <c:pt idx="510">
                  <c:v>0.079165</c:v>
                </c:pt>
                <c:pt idx="511">
                  <c:v>0.079662</c:v>
                </c:pt>
                <c:pt idx="512">
                  <c:v>0.087351</c:v>
                </c:pt>
                <c:pt idx="513">
                  <c:v>0.079683</c:v>
                </c:pt>
                <c:pt idx="514">
                  <c:v>0.082367</c:v>
                </c:pt>
                <c:pt idx="515">
                  <c:v>0.083734</c:v>
                </c:pt>
                <c:pt idx="516">
                  <c:v>0.078587</c:v>
                </c:pt>
                <c:pt idx="517">
                  <c:v>0.079378</c:v>
                </c:pt>
                <c:pt idx="518">
                  <c:v>0.08671</c:v>
                </c:pt>
                <c:pt idx="519">
                  <c:v>0.078371</c:v>
                </c:pt>
                <c:pt idx="520">
                  <c:v>0.079714</c:v>
                </c:pt>
                <c:pt idx="521">
                  <c:v>0.078578</c:v>
                </c:pt>
                <c:pt idx="522">
                  <c:v>0.079451</c:v>
                </c:pt>
                <c:pt idx="523">
                  <c:v>0.079276</c:v>
                </c:pt>
                <c:pt idx="524">
                  <c:v>0.077922</c:v>
                </c:pt>
                <c:pt idx="525">
                  <c:v>0.079595</c:v>
                </c:pt>
                <c:pt idx="526">
                  <c:v>0.086644</c:v>
                </c:pt>
                <c:pt idx="527">
                  <c:v>0.078919</c:v>
                </c:pt>
                <c:pt idx="528">
                  <c:v>0.078221</c:v>
                </c:pt>
                <c:pt idx="529">
                  <c:v>0.081531</c:v>
                </c:pt>
                <c:pt idx="530">
                  <c:v>0.080118</c:v>
                </c:pt>
                <c:pt idx="531">
                  <c:v>0.080101</c:v>
                </c:pt>
                <c:pt idx="532">
                  <c:v>0.087897</c:v>
                </c:pt>
                <c:pt idx="533">
                  <c:v>0.078965</c:v>
                </c:pt>
                <c:pt idx="534">
                  <c:v>0.080023</c:v>
                </c:pt>
                <c:pt idx="535">
                  <c:v>0.080997</c:v>
                </c:pt>
                <c:pt idx="536">
                  <c:v>0.087987</c:v>
                </c:pt>
                <c:pt idx="537">
                  <c:v>0.088436</c:v>
                </c:pt>
                <c:pt idx="538">
                  <c:v>0.081672</c:v>
                </c:pt>
                <c:pt idx="539">
                  <c:v>0.079646</c:v>
                </c:pt>
                <c:pt idx="540">
                  <c:v>0.081538</c:v>
                </c:pt>
                <c:pt idx="541">
                  <c:v>0.086251</c:v>
                </c:pt>
                <c:pt idx="542">
                  <c:v>0.078965</c:v>
                </c:pt>
                <c:pt idx="543">
                  <c:v>0.079016</c:v>
                </c:pt>
                <c:pt idx="544">
                  <c:v>0.080263</c:v>
                </c:pt>
                <c:pt idx="545">
                  <c:v>0.080155</c:v>
                </c:pt>
                <c:pt idx="546">
                  <c:v>0.081164</c:v>
                </c:pt>
                <c:pt idx="547">
                  <c:v>0.078744</c:v>
                </c:pt>
                <c:pt idx="548">
                  <c:v>0.079443</c:v>
                </c:pt>
                <c:pt idx="549">
                  <c:v>0.080503</c:v>
                </c:pt>
                <c:pt idx="550">
                  <c:v>0.078463</c:v>
                </c:pt>
                <c:pt idx="551">
                  <c:v>0.077431</c:v>
                </c:pt>
                <c:pt idx="552">
                  <c:v>0.078194</c:v>
                </c:pt>
                <c:pt idx="553">
                  <c:v>0.078399</c:v>
                </c:pt>
                <c:pt idx="554">
                  <c:v>0.078988</c:v>
                </c:pt>
                <c:pt idx="555">
                  <c:v>0.081478</c:v>
                </c:pt>
                <c:pt idx="556">
                  <c:v>0.079283</c:v>
                </c:pt>
                <c:pt idx="557">
                  <c:v>0.076217</c:v>
                </c:pt>
                <c:pt idx="558">
                  <c:v>0.07827</c:v>
                </c:pt>
                <c:pt idx="559">
                  <c:v>0.077934</c:v>
                </c:pt>
                <c:pt idx="560">
                  <c:v>0.083536</c:v>
                </c:pt>
                <c:pt idx="561">
                  <c:v>0.079229</c:v>
                </c:pt>
                <c:pt idx="562">
                  <c:v>0.078201</c:v>
                </c:pt>
                <c:pt idx="563">
                  <c:v>0.077079</c:v>
                </c:pt>
                <c:pt idx="564">
                  <c:v>0.078981</c:v>
                </c:pt>
                <c:pt idx="565">
                  <c:v>0.083143</c:v>
                </c:pt>
                <c:pt idx="566">
                  <c:v>0.078453</c:v>
                </c:pt>
                <c:pt idx="567">
                  <c:v>0.07665</c:v>
                </c:pt>
                <c:pt idx="568">
                  <c:v>0.078515</c:v>
                </c:pt>
                <c:pt idx="569">
                  <c:v>0.078175</c:v>
                </c:pt>
                <c:pt idx="570">
                  <c:v>0.077362</c:v>
                </c:pt>
                <c:pt idx="571">
                  <c:v>0.076863</c:v>
                </c:pt>
                <c:pt idx="572">
                  <c:v>0.076585</c:v>
                </c:pt>
                <c:pt idx="573">
                  <c:v>0.077226</c:v>
                </c:pt>
                <c:pt idx="574">
                  <c:v>0.077256</c:v>
                </c:pt>
                <c:pt idx="575">
                  <c:v>0.083238</c:v>
                </c:pt>
                <c:pt idx="576">
                  <c:v>0.077649</c:v>
                </c:pt>
                <c:pt idx="577">
                  <c:v>0.078148</c:v>
                </c:pt>
                <c:pt idx="578">
                  <c:v>0.079919</c:v>
                </c:pt>
                <c:pt idx="579">
                  <c:v>0.085572</c:v>
                </c:pt>
                <c:pt idx="580">
                  <c:v>0.079376</c:v>
                </c:pt>
                <c:pt idx="581">
                  <c:v>0.076213</c:v>
                </c:pt>
                <c:pt idx="582">
                  <c:v>0.080301</c:v>
                </c:pt>
                <c:pt idx="583">
                  <c:v>0.078757</c:v>
                </c:pt>
                <c:pt idx="584">
                  <c:v>0.076054</c:v>
                </c:pt>
                <c:pt idx="585">
                  <c:v>0.079141</c:v>
                </c:pt>
                <c:pt idx="586">
                  <c:v>0.077017</c:v>
                </c:pt>
                <c:pt idx="587">
                  <c:v>0.077231</c:v>
                </c:pt>
                <c:pt idx="588">
                  <c:v>0.08271</c:v>
                </c:pt>
                <c:pt idx="589">
                  <c:v>0.077088</c:v>
                </c:pt>
                <c:pt idx="590">
                  <c:v>0.078141</c:v>
                </c:pt>
                <c:pt idx="591">
                  <c:v>0.076529</c:v>
                </c:pt>
                <c:pt idx="592">
                  <c:v>0.076053</c:v>
                </c:pt>
                <c:pt idx="593">
                  <c:v>0.082991</c:v>
                </c:pt>
                <c:pt idx="594">
                  <c:v>0.076818</c:v>
                </c:pt>
                <c:pt idx="595">
                  <c:v>0.077101</c:v>
                </c:pt>
                <c:pt idx="596">
                  <c:v>0.074558</c:v>
                </c:pt>
                <c:pt idx="597">
                  <c:v>0.07678</c:v>
                </c:pt>
                <c:pt idx="598">
                  <c:v>0.076815</c:v>
                </c:pt>
                <c:pt idx="599">
                  <c:v>0.075778</c:v>
                </c:pt>
                <c:pt idx="600">
                  <c:v>0.076703</c:v>
                </c:pt>
                <c:pt idx="601">
                  <c:v>0.077087</c:v>
                </c:pt>
                <c:pt idx="602">
                  <c:v>0.078454</c:v>
                </c:pt>
                <c:pt idx="603">
                  <c:v>0.074963</c:v>
                </c:pt>
                <c:pt idx="604">
                  <c:v>0.082816</c:v>
                </c:pt>
                <c:pt idx="605">
                  <c:v>0.075778</c:v>
                </c:pt>
                <c:pt idx="606">
                  <c:v>0.07718</c:v>
                </c:pt>
                <c:pt idx="607">
                  <c:v>0.075214</c:v>
                </c:pt>
                <c:pt idx="608">
                  <c:v>0.078461</c:v>
                </c:pt>
                <c:pt idx="609">
                  <c:v>0.07623</c:v>
                </c:pt>
                <c:pt idx="610">
                  <c:v>0.076247</c:v>
                </c:pt>
                <c:pt idx="611">
                  <c:v>0.074871</c:v>
                </c:pt>
                <c:pt idx="612">
                  <c:v>0.076187</c:v>
                </c:pt>
                <c:pt idx="613">
                  <c:v>0.075323</c:v>
                </c:pt>
                <c:pt idx="614">
                  <c:v>0.074785</c:v>
                </c:pt>
                <c:pt idx="615">
                  <c:v>0.078477</c:v>
                </c:pt>
                <c:pt idx="616">
                  <c:v>0.076107</c:v>
                </c:pt>
                <c:pt idx="617">
                  <c:v>0.077494</c:v>
                </c:pt>
                <c:pt idx="618">
                  <c:v>0.081652</c:v>
                </c:pt>
                <c:pt idx="619">
                  <c:v>0.074803</c:v>
                </c:pt>
                <c:pt idx="620">
                  <c:v>0.077392</c:v>
                </c:pt>
                <c:pt idx="621">
                  <c:v>0.076682</c:v>
                </c:pt>
                <c:pt idx="622">
                  <c:v>0.074822</c:v>
                </c:pt>
                <c:pt idx="623">
                  <c:v>0.074866</c:v>
                </c:pt>
                <c:pt idx="624">
                  <c:v>0.076635</c:v>
                </c:pt>
                <c:pt idx="625">
                  <c:v>0.074614</c:v>
                </c:pt>
                <c:pt idx="626">
                  <c:v>0.075371</c:v>
                </c:pt>
                <c:pt idx="627">
                  <c:v>0.076178</c:v>
                </c:pt>
                <c:pt idx="628">
                  <c:v>0.078214</c:v>
                </c:pt>
                <c:pt idx="629">
                  <c:v>0.07556</c:v>
                </c:pt>
                <c:pt idx="630">
                  <c:v>0.074774</c:v>
                </c:pt>
                <c:pt idx="631">
                  <c:v>0.075941</c:v>
                </c:pt>
                <c:pt idx="632">
                  <c:v>0.075005</c:v>
                </c:pt>
                <c:pt idx="633">
                  <c:v>0.075178</c:v>
                </c:pt>
                <c:pt idx="634">
                  <c:v>0.07524</c:v>
                </c:pt>
                <c:pt idx="635">
                  <c:v>0.075348</c:v>
                </c:pt>
                <c:pt idx="636">
                  <c:v>0.076866</c:v>
                </c:pt>
                <c:pt idx="637">
                  <c:v>0.076349</c:v>
                </c:pt>
                <c:pt idx="638">
                  <c:v>0.076527</c:v>
                </c:pt>
                <c:pt idx="639">
                  <c:v>0.074952</c:v>
                </c:pt>
                <c:pt idx="640">
                  <c:v>0.074712</c:v>
                </c:pt>
                <c:pt idx="641">
                  <c:v>0.079726</c:v>
                </c:pt>
                <c:pt idx="642">
                  <c:v>0.075414</c:v>
                </c:pt>
                <c:pt idx="643">
                  <c:v>0.074167</c:v>
                </c:pt>
                <c:pt idx="644">
                  <c:v>0.074458</c:v>
                </c:pt>
                <c:pt idx="645">
                  <c:v>0.075429</c:v>
                </c:pt>
                <c:pt idx="646">
                  <c:v>0.074945</c:v>
                </c:pt>
                <c:pt idx="647">
                  <c:v>0.076852</c:v>
                </c:pt>
                <c:pt idx="648">
                  <c:v>0.075053</c:v>
                </c:pt>
                <c:pt idx="649">
                  <c:v>0.075194</c:v>
                </c:pt>
                <c:pt idx="650">
                  <c:v>0.074749</c:v>
                </c:pt>
                <c:pt idx="651">
                  <c:v>0.076993</c:v>
                </c:pt>
                <c:pt idx="652">
                  <c:v>0.074287</c:v>
                </c:pt>
                <c:pt idx="653">
                  <c:v>0.074208</c:v>
                </c:pt>
                <c:pt idx="654">
                  <c:v>0.075211</c:v>
                </c:pt>
                <c:pt idx="655">
                  <c:v>0.074584</c:v>
                </c:pt>
                <c:pt idx="656">
                  <c:v>0.075846</c:v>
                </c:pt>
                <c:pt idx="657">
                  <c:v>0.076024</c:v>
                </c:pt>
                <c:pt idx="658">
                  <c:v>0.07582</c:v>
                </c:pt>
                <c:pt idx="659">
                  <c:v>0.074661</c:v>
                </c:pt>
                <c:pt idx="660">
                  <c:v>0.074483</c:v>
                </c:pt>
                <c:pt idx="661">
                  <c:v>0.074938</c:v>
                </c:pt>
                <c:pt idx="662">
                  <c:v>0.074189</c:v>
                </c:pt>
                <c:pt idx="663">
                  <c:v>0.074278</c:v>
                </c:pt>
                <c:pt idx="664">
                  <c:v>0.075706</c:v>
                </c:pt>
                <c:pt idx="665">
                  <c:v>0.074254</c:v>
                </c:pt>
                <c:pt idx="666">
                  <c:v>0.07491</c:v>
                </c:pt>
                <c:pt idx="667">
                  <c:v>0.073475</c:v>
                </c:pt>
                <c:pt idx="668">
                  <c:v>0.075416</c:v>
                </c:pt>
                <c:pt idx="669">
                  <c:v>0.074094</c:v>
                </c:pt>
                <c:pt idx="670">
                  <c:v>0.074882</c:v>
                </c:pt>
                <c:pt idx="671">
                  <c:v>0.074136</c:v>
                </c:pt>
                <c:pt idx="672">
                  <c:v>0.074118</c:v>
                </c:pt>
                <c:pt idx="673">
                  <c:v>0.074077</c:v>
                </c:pt>
                <c:pt idx="674">
                  <c:v>0.074174</c:v>
                </c:pt>
                <c:pt idx="675">
                  <c:v>0.074681</c:v>
                </c:pt>
                <c:pt idx="676">
                  <c:v>0.073441</c:v>
                </c:pt>
                <c:pt idx="677">
                  <c:v>0.075618</c:v>
                </c:pt>
                <c:pt idx="678">
                  <c:v>0.075831</c:v>
                </c:pt>
                <c:pt idx="679">
                  <c:v>0.075043</c:v>
                </c:pt>
                <c:pt idx="680">
                  <c:v>0.073627</c:v>
                </c:pt>
                <c:pt idx="681">
                  <c:v>0.073465</c:v>
                </c:pt>
                <c:pt idx="682">
                  <c:v>0.073675</c:v>
                </c:pt>
                <c:pt idx="683">
                  <c:v>0.074581</c:v>
                </c:pt>
                <c:pt idx="684">
                  <c:v>0.073562</c:v>
                </c:pt>
                <c:pt idx="685">
                  <c:v>0.073851</c:v>
                </c:pt>
                <c:pt idx="686">
                  <c:v>0.075356</c:v>
                </c:pt>
                <c:pt idx="687">
                  <c:v>0.073602</c:v>
                </c:pt>
                <c:pt idx="688">
                  <c:v>0.074166</c:v>
                </c:pt>
                <c:pt idx="689">
                  <c:v>0.073845</c:v>
                </c:pt>
                <c:pt idx="690">
                  <c:v>0.075538</c:v>
                </c:pt>
                <c:pt idx="691">
                  <c:v>0.074215</c:v>
                </c:pt>
                <c:pt idx="692">
                  <c:v>0.072977</c:v>
                </c:pt>
                <c:pt idx="693">
                  <c:v>0.074173</c:v>
                </c:pt>
                <c:pt idx="694">
                  <c:v>0.073804</c:v>
                </c:pt>
                <c:pt idx="695">
                  <c:v>0.074305</c:v>
                </c:pt>
                <c:pt idx="696">
                  <c:v>0.073306</c:v>
                </c:pt>
                <c:pt idx="697">
                  <c:v>0.073938</c:v>
                </c:pt>
                <c:pt idx="698">
                  <c:v>0.074217</c:v>
                </c:pt>
                <c:pt idx="699">
                  <c:v>0.072985</c:v>
                </c:pt>
                <c:pt idx="700">
                  <c:v>0.073008</c:v>
                </c:pt>
                <c:pt idx="701">
                  <c:v>0.073612</c:v>
                </c:pt>
                <c:pt idx="702">
                  <c:v>0.074249</c:v>
                </c:pt>
                <c:pt idx="703">
                  <c:v>0.073513</c:v>
                </c:pt>
                <c:pt idx="704">
                  <c:v>0.073995</c:v>
                </c:pt>
                <c:pt idx="705">
                  <c:v>0.073891</c:v>
                </c:pt>
                <c:pt idx="706">
                  <c:v>0.074182</c:v>
                </c:pt>
                <c:pt idx="707">
                  <c:v>0.073335</c:v>
                </c:pt>
                <c:pt idx="708">
                  <c:v>0.073232</c:v>
                </c:pt>
                <c:pt idx="709">
                  <c:v>0.073539</c:v>
                </c:pt>
                <c:pt idx="710">
                  <c:v>0.07346</c:v>
                </c:pt>
                <c:pt idx="711">
                  <c:v>0.073108</c:v>
                </c:pt>
                <c:pt idx="712">
                  <c:v>0.073479</c:v>
                </c:pt>
                <c:pt idx="713">
                  <c:v>0.073125</c:v>
                </c:pt>
                <c:pt idx="714">
                  <c:v>0.073545</c:v>
                </c:pt>
                <c:pt idx="715">
                  <c:v>0.07357</c:v>
                </c:pt>
                <c:pt idx="716">
                  <c:v>0.073071</c:v>
                </c:pt>
                <c:pt idx="717">
                  <c:v>0.073699</c:v>
                </c:pt>
                <c:pt idx="718">
                  <c:v>0.073792</c:v>
                </c:pt>
                <c:pt idx="719">
                  <c:v>0.073844</c:v>
                </c:pt>
                <c:pt idx="720">
                  <c:v>0.072801</c:v>
                </c:pt>
                <c:pt idx="721">
                  <c:v>0.073227</c:v>
                </c:pt>
                <c:pt idx="722">
                  <c:v>0.072725</c:v>
                </c:pt>
                <c:pt idx="723">
                  <c:v>0.073098</c:v>
                </c:pt>
                <c:pt idx="724">
                  <c:v>0.073162</c:v>
                </c:pt>
                <c:pt idx="725">
                  <c:v>0.073173</c:v>
                </c:pt>
                <c:pt idx="726">
                  <c:v>0.07291</c:v>
                </c:pt>
                <c:pt idx="727">
                  <c:v>0.072814</c:v>
                </c:pt>
                <c:pt idx="728">
                  <c:v>0.072544</c:v>
                </c:pt>
                <c:pt idx="729">
                  <c:v>0.07274</c:v>
                </c:pt>
                <c:pt idx="730">
                  <c:v>0.073172</c:v>
                </c:pt>
                <c:pt idx="731">
                  <c:v>0.073001</c:v>
                </c:pt>
                <c:pt idx="732">
                  <c:v>0.072842</c:v>
                </c:pt>
                <c:pt idx="733">
                  <c:v>0.072823</c:v>
                </c:pt>
                <c:pt idx="734">
                  <c:v>0.073779</c:v>
                </c:pt>
                <c:pt idx="735">
                  <c:v>0.073044</c:v>
                </c:pt>
                <c:pt idx="736">
                  <c:v>0.072913</c:v>
                </c:pt>
                <c:pt idx="737">
                  <c:v>0.073071</c:v>
                </c:pt>
                <c:pt idx="738">
                  <c:v>0.073036</c:v>
                </c:pt>
                <c:pt idx="739">
                  <c:v>0.072876</c:v>
                </c:pt>
                <c:pt idx="740">
                  <c:v>0.073046</c:v>
                </c:pt>
                <c:pt idx="741">
                  <c:v>0.073541</c:v>
                </c:pt>
                <c:pt idx="742">
                  <c:v>0.072667</c:v>
                </c:pt>
                <c:pt idx="743">
                  <c:v>0.073546</c:v>
                </c:pt>
                <c:pt idx="744">
                  <c:v>0.074573</c:v>
                </c:pt>
                <c:pt idx="745">
                  <c:v>0.072753</c:v>
                </c:pt>
                <c:pt idx="746">
                  <c:v>0.073156</c:v>
                </c:pt>
                <c:pt idx="747">
                  <c:v>0.073272</c:v>
                </c:pt>
                <c:pt idx="748">
                  <c:v>0.073022</c:v>
                </c:pt>
                <c:pt idx="749">
                  <c:v>0.072718</c:v>
                </c:pt>
                <c:pt idx="750">
                  <c:v>0.073094</c:v>
                </c:pt>
                <c:pt idx="751">
                  <c:v>0.072906</c:v>
                </c:pt>
                <c:pt idx="752">
                  <c:v>0.072766</c:v>
                </c:pt>
                <c:pt idx="753">
                  <c:v>0.07315</c:v>
                </c:pt>
                <c:pt idx="754">
                  <c:v>0.072626</c:v>
                </c:pt>
                <c:pt idx="755">
                  <c:v>0.072798</c:v>
                </c:pt>
                <c:pt idx="756">
                  <c:v>0.072967</c:v>
                </c:pt>
                <c:pt idx="757">
                  <c:v>0.072944</c:v>
                </c:pt>
                <c:pt idx="758">
                  <c:v>0.074149</c:v>
                </c:pt>
                <c:pt idx="759">
                  <c:v>0.07398</c:v>
                </c:pt>
                <c:pt idx="760">
                  <c:v>0.072992</c:v>
                </c:pt>
                <c:pt idx="761">
                  <c:v>0.072336</c:v>
                </c:pt>
                <c:pt idx="762">
                  <c:v>0.073192</c:v>
                </c:pt>
                <c:pt idx="763">
                  <c:v>0.072544</c:v>
                </c:pt>
                <c:pt idx="764">
                  <c:v>0.072274</c:v>
                </c:pt>
                <c:pt idx="765">
                  <c:v>0.072783</c:v>
                </c:pt>
                <c:pt idx="766">
                  <c:v>0.072368</c:v>
                </c:pt>
                <c:pt idx="767">
                  <c:v>0.073103</c:v>
                </c:pt>
                <c:pt idx="768">
                  <c:v>0.072647</c:v>
                </c:pt>
                <c:pt idx="769">
                  <c:v>0.072853</c:v>
                </c:pt>
                <c:pt idx="770">
                  <c:v>0.072649</c:v>
                </c:pt>
                <c:pt idx="771">
                  <c:v>0.072322</c:v>
                </c:pt>
                <c:pt idx="772">
                  <c:v>0.072178</c:v>
                </c:pt>
                <c:pt idx="773">
                  <c:v>0.072315</c:v>
                </c:pt>
                <c:pt idx="774">
                  <c:v>0.072584</c:v>
                </c:pt>
                <c:pt idx="775">
                  <c:v>0.072161</c:v>
                </c:pt>
                <c:pt idx="776">
                  <c:v>0.072387</c:v>
                </c:pt>
                <c:pt idx="777">
                  <c:v>0.072698</c:v>
                </c:pt>
                <c:pt idx="778">
                  <c:v>0.072372</c:v>
                </c:pt>
                <c:pt idx="779">
                  <c:v>0.072161</c:v>
                </c:pt>
                <c:pt idx="780">
                  <c:v>0.072247</c:v>
                </c:pt>
                <c:pt idx="781">
                  <c:v>0.072532</c:v>
                </c:pt>
                <c:pt idx="782">
                  <c:v>0.072272</c:v>
                </c:pt>
                <c:pt idx="783">
                  <c:v>0.072389</c:v>
                </c:pt>
                <c:pt idx="784">
                  <c:v>0.072484</c:v>
                </c:pt>
                <c:pt idx="785">
                  <c:v>0.072599</c:v>
                </c:pt>
                <c:pt idx="786">
                  <c:v>0.072982</c:v>
                </c:pt>
                <c:pt idx="787">
                  <c:v>0.072635</c:v>
                </c:pt>
                <c:pt idx="788">
                  <c:v>0.072422</c:v>
                </c:pt>
                <c:pt idx="789">
                  <c:v>0.072877</c:v>
                </c:pt>
                <c:pt idx="790">
                  <c:v>0.072818</c:v>
                </c:pt>
                <c:pt idx="791">
                  <c:v>0.072292</c:v>
                </c:pt>
                <c:pt idx="792">
                  <c:v>0.072775</c:v>
                </c:pt>
                <c:pt idx="793">
                  <c:v>0.072584</c:v>
                </c:pt>
                <c:pt idx="794">
                  <c:v>0.07284</c:v>
                </c:pt>
                <c:pt idx="795">
                  <c:v>0.072637</c:v>
                </c:pt>
                <c:pt idx="796">
                  <c:v>0.072352</c:v>
                </c:pt>
                <c:pt idx="797">
                  <c:v>0.072722</c:v>
                </c:pt>
                <c:pt idx="798">
                  <c:v>0.072376</c:v>
                </c:pt>
                <c:pt idx="799">
                  <c:v>0.072454</c:v>
                </c:pt>
                <c:pt idx="800">
                  <c:v>0.072791</c:v>
                </c:pt>
                <c:pt idx="801">
                  <c:v>0.072491</c:v>
                </c:pt>
                <c:pt idx="802">
                  <c:v>0.072339</c:v>
                </c:pt>
                <c:pt idx="803">
                  <c:v>0.072505</c:v>
                </c:pt>
                <c:pt idx="804">
                  <c:v>0.072424</c:v>
                </c:pt>
                <c:pt idx="805">
                  <c:v>0.072321</c:v>
                </c:pt>
                <c:pt idx="806">
                  <c:v>0.072403</c:v>
                </c:pt>
                <c:pt idx="807">
                  <c:v>0.072281</c:v>
                </c:pt>
                <c:pt idx="808">
                  <c:v>0.072329</c:v>
                </c:pt>
                <c:pt idx="809">
                  <c:v>0.072278</c:v>
                </c:pt>
                <c:pt idx="810">
                  <c:v>0.072336</c:v>
                </c:pt>
                <c:pt idx="811">
                  <c:v>0.072363</c:v>
                </c:pt>
                <c:pt idx="812">
                  <c:v>0.072737</c:v>
                </c:pt>
                <c:pt idx="813">
                  <c:v>0.072614</c:v>
                </c:pt>
                <c:pt idx="814">
                  <c:v>0.072272</c:v>
                </c:pt>
                <c:pt idx="815">
                  <c:v>0.072279</c:v>
                </c:pt>
                <c:pt idx="816">
                  <c:v>0.072397</c:v>
                </c:pt>
                <c:pt idx="817">
                  <c:v>0.072399</c:v>
                </c:pt>
                <c:pt idx="818">
                  <c:v>0.072328</c:v>
                </c:pt>
                <c:pt idx="819">
                  <c:v>0.072233</c:v>
                </c:pt>
                <c:pt idx="820">
                  <c:v>0.072195</c:v>
                </c:pt>
                <c:pt idx="821">
                  <c:v>0.072245</c:v>
                </c:pt>
                <c:pt idx="822">
                  <c:v>0.072429</c:v>
                </c:pt>
                <c:pt idx="823">
                  <c:v>0.072229</c:v>
                </c:pt>
                <c:pt idx="824">
                  <c:v>0.072168</c:v>
                </c:pt>
                <c:pt idx="825">
                  <c:v>0.072321</c:v>
                </c:pt>
                <c:pt idx="826">
                  <c:v>0.07234</c:v>
                </c:pt>
                <c:pt idx="827">
                  <c:v>0.072257</c:v>
                </c:pt>
                <c:pt idx="828">
                  <c:v>0.0723</c:v>
                </c:pt>
                <c:pt idx="829">
                  <c:v>0.072293</c:v>
                </c:pt>
                <c:pt idx="830">
                  <c:v>0.0723</c:v>
                </c:pt>
                <c:pt idx="831">
                  <c:v>0.07231</c:v>
                </c:pt>
                <c:pt idx="832">
                  <c:v>0.072233</c:v>
                </c:pt>
                <c:pt idx="833">
                  <c:v>0.072113</c:v>
                </c:pt>
                <c:pt idx="834">
                  <c:v>0.07239</c:v>
                </c:pt>
                <c:pt idx="835">
                  <c:v>0.072206</c:v>
                </c:pt>
                <c:pt idx="836">
                  <c:v>0.072175</c:v>
                </c:pt>
                <c:pt idx="837">
                  <c:v>0.072183</c:v>
                </c:pt>
                <c:pt idx="838">
                  <c:v>0.072267</c:v>
                </c:pt>
                <c:pt idx="839">
                  <c:v>0.072393</c:v>
                </c:pt>
                <c:pt idx="840">
                  <c:v>0.072016</c:v>
                </c:pt>
                <c:pt idx="841">
                  <c:v>0.072349</c:v>
                </c:pt>
                <c:pt idx="842">
                  <c:v>0.072123</c:v>
                </c:pt>
                <c:pt idx="843">
                  <c:v>0.07219</c:v>
                </c:pt>
                <c:pt idx="844">
                  <c:v>0.072233</c:v>
                </c:pt>
                <c:pt idx="845">
                  <c:v>0.072149</c:v>
                </c:pt>
                <c:pt idx="846">
                  <c:v>0.0722</c:v>
                </c:pt>
                <c:pt idx="847">
                  <c:v>0.072216</c:v>
                </c:pt>
                <c:pt idx="848">
                  <c:v>0.072236</c:v>
                </c:pt>
                <c:pt idx="849">
                  <c:v>0.072351</c:v>
                </c:pt>
                <c:pt idx="850">
                  <c:v>0.072272</c:v>
                </c:pt>
                <c:pt idx="851">
                  <c:v>0.072615</c:v>
                </c:pt>
                <c:pt idx="852">
                  <c:v>0.072309</c:v>
                </c:pt>
                <c:pt idx="853">
                  <c:v>0.072217</c:v>
                </c:pt>
                <c:pt idx="854">
                  <c:v>0.072283</c:v>
                </c:pt>
                <c:pt idx="855">
                  <c:v>0.072196</c:v>
                </c:pt>
                <c:pt idx="856">
                  <c:v>0.072201</c:v>
                </c:pt>
                <c:pt idx="857">
                  <c:v>0.072386</c:v>
                </c:pt>
                <c:pt idx="858">
                  <c:v>0.072204</c:v>
                </c:pt>
                <c:pt idx="859">
                  <c:v>0.072243</c:v>
                </c:pt>
                <c:pt idx="860">
                  <c:v>0.072258</c:v>
                </c:pt>
                <c:pt idx="861">
                  <c:v>0.072159</c:v>
                </c:pt>
                <c:pt idx="862">
                  <c:v>0.072134</c:v>
                </c:pt>
                <c:pt idx="863">
                  <c:v>0.072319</c:v>
                </c:pt>
                <c:pt idx="864">
                  <c:v>0.072198</c:v>
                </c:pt>
                <c:pt idx="865">
                  <c:v>0.072355</c:v>
                </c:pt>
                <c:pt idx="866">
                  <c:v>0.07233</c:v>
                </c:pt>
                <c:pt idx="867">
                  <c:v>0.072241</c:v>
                </c:pt>
                <c:pt idx="868">
                  <c:v>0.072253</c:v>
                </c:pt>
                <c:pt idx="869">
                  <c:v>0.072183</c:v>
                </c:pt>
                <c:pt idx="870">
                  <c:v>0.07225</c:v>
                </c:pt>
                <c:pt idx="871">
                  <c:v>0.072361</c:v>
                </c:pt>
                <c:pt idx="872">
                  <c:v>0.072245</c:v>
                </c:pt>
                <c:pt idx="873">
                  <c:v>0.072205</c:v>
                </c:pt>
                <c:pt idx="874">
                  <c:v>0.072242</c:v>
                </c:pt>
                <c:pt idx="875">
                  <c:v>0.072338</c:v>
                </c:pt>
                <c:pt idx="876">
                  <c:v>0.072214</c:v>
                </c:pt>
                <c:pt idx="877">
                  <c:v>0.072176</c:v>
                </c:pt>
                <c:pt idx="878">
                  <c:v>0.072212</c:v>
                </c:pt>
                <c:pt idx="879">
                  <c:v>0.072119</c:v>
                </c:pt>
                <c:pt idx="880">
                  <c:v>0.072231</c:v>
                </c:pt>
                <c:pt idx="881">
                  <c:v>0.07219</c:v>
                </c:pt>
                <c:pt idx="882">
                  <c:v>0.072245</c:v>
                </c:pt>
                <c:pt idx="883">
                  <c:v>0.07217</c:v>
                </c:pt>
                <c:pt idx="884">
                  <c:v>0.072259</c:v>
                </c:pt>
                <c:pt idx="885">
                  <c:v>0.072256</c:v>
                </c:pt>
                <c:pt idx="886">
                  <c:v>0.072206</c:v>
                </c:pt>
                <c:pt idx="887">
                  <c:v>0.072259</c:v>
                </c:pt>
                <c:pt idx="888">
                  <c:v>0.072189</c:v>
                </c:pt>
                <c:pt idx="889">
                  <c:v>0.072203</c:v>
                </c:pt>
                <c:pt idx="890">
                  <c:v>0.072281</c:v>
                </c:pt>
                <c:pt idx="891">
                  <c:v>0.072218</c:v>
                </c:pt>
                <c:pt idx="892">
                  <c:v>0.072172</c:v>
                </c:pt>
                <c:pt idx="893">
                  <c:v>0.072147</c:v>
                </c:pt>
                <c:pt idx="894">
                  <c:v>0.072167</c:v>
                </c:pt>
                <c:pt idx="895">
                  <c:v>0.072257</c:v>
                </c:pt>
                <c:pt idx="896">
                  <c:v>0.072259</c:v>
                </c:pt>
                <c:pt idx="897">
                  <c:v>0.072147</c:v>
                </c:pt>
                <c:pt idx="898">
                  <c:v>0.072219</c:v>
                </c:pt>
                <c:pt idx="899">
                  <c:v>0.07222</c:v>
                </c:pt>
                <c:pt idx="900">
                  <c:v>0.072214</c:v>
                </c:pt>
                <c:pt idx="901">
                  <c:v>0.072236</c:v>
                </c:pt>
                <c:pt idx="902">
                  <c:v>0.072202</c:v>
                </c:pt>
                <c:pt idx="903">
                  <c:v>0.072238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记录!$G$3</c:f>
              <c:strCache>
                <c:ptCount val="1"/>
                <c:pt idx="0">
                  <c:v>Valid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记录!$G$4:$G$907</c:f>
              <c:numCache>
                <c:formatCode>General</c:formatCode>
                <c:ptCount val="904"/>
                <c:pt idx="0">
                  <c:v>0.764005</c:v>
                </c:pt>
                <c:pt idx="1">
                  <c:v>0.755023</c:v>
                </c:pt>
                <c:pt idx="2">
                  <c:v>0.562772</c:v>
                </c:pt>
                <c:pt idx="3">
                  <c:v>0.574784</c:v>
                </c:pt>
                <c:pt idx="4">
                  <c:v>0.516019</c:v>
                </c:pt>
                <c:pt idx="5">
                  <c:v>0.406413</c:v>
                </c:pt>
                <c:pt idx="6">
                  <c:v>0.356118</c:v>
                </c:pt>
                <c:pt idx="7">
                  <c:v>0.429493</c:v>
                </c:pt>
                <c:pt idx="8">
                  <c:v>0.28007</c:v>
                </c:pt>
                <c:pt idx="9">
                  <c:v>0.339285</c:v>
                </c:pt>
                <c:pt idx="10">
                  <c:v>0.443253</c:v>
                </c:pt>
                <c:pt idx="11">
                  <c:v>0.434844</c:v>
                </c:pt>
                <c:pt idx="12">
                  <c:v>0.392176</c:v>
                </c:pt>
                <c:pt idx="13">
                  <c:v>0.261946</c:v>
                </c:pt>
                <c:pt idx="14">
                  <c:v>0.246033</c:v>
                </c:pt>
                <c:pt idx="15">
                  <c:v>0.231293</c:v>
                </c:pt>
                <c:pt idx="16">
                  <c:v>0.291695</c:v>
                </c:pt>
                <c:pt idx="17">
                  <c:v>0.251517</c:v>
                </c:pt>
                <c:pt idx="18">
                  <c:v>0.266468</c:v>
                </c:pt>
                <c:pt idx="19">
                  <c:v>0.257792</c:v>
                </c:pt>
                <c:pt idx="20">
                  <c:v>0.26358</c:v>
                </c:pt>
                <c:pt idx="21">
                  <c:v>0.217195</c:v>
                </c:pt>
                <c:pt idx="22">
                  <c:v>0.20456</c:v>
                </c:pt>
                <c:pt idx="23">
                  <c:v>0.235082</c:v>
                </c:pt>
                <c:pt idx="24">
                  <c:v>0.21513</c:v>
                </c:pt>
                <c:pt idx="25">
                  <c:v>0.226425</c:v>
                </c:pt>
                <c:pt idx="26">
                  <c:v>0.199993</c:v>
                </c:pt>
                <c:pt idx="27">
                  <c:v>0.20533</c:v>
                </c:pt>
                <c:pt idx="28">
                  <c:v>0.243758</c:v>
                </c:pt>
                <c:pt idx="29">
                  <c:v>0.263274</c:v>
                </c:pt>
                <c:pt idx="30">
                  <c:v>0.200006</c:v>
                </c:pt>
                <c:pt idx="31">
                  <c:v>0.213184</c:v>
                </c:pt>
                <c:pt idx="32">
                  <c:v>0.162796</c:v>
                </c:pt>
                <c:pt idx="33">
                  <c:v>0.193517</c:v>
                </c:pt>
                <c:pt idx="34">
                  <c:v>0.197158</c:v>
                </c:pt>
                <c:pt idx="35">
                  <c:v>0.269224</c:v>
                </c:pt>
                <c:pt idx="36">
                  <c:v>0.21183</c:v>
                </c:pt>
                <c:pt idx="37">
                  <c:v>0.221239</c:v>
                </c:pt>
                <c:pt idx="38">
                  <c:v>0.275451</c:v>
                </c:pt>
                <c:pt idx="39">
                  <c:v>0.176827</c:v>
                </c:pt>
                <c:pt idx="40">
                  <c:v>0.26486</c:v>
                </c:pt>
                <c:pt idx="41">
                  <c:v>0.170314</c:v>
                </c:pt>
                <c:pt idx="42">
                  <c:v>0.241473</c:v>
                </c:pt>
                <c:pt idx="43">
                  <c:v>0.230207</c:v>
                </c:pt>
                <c:pt idx="44">
                  <c:v>0.188109</c:v>
                </c:pt>
                <c:pt idx="45">
                  <c:v>0.23294</c:v>
                </c:pt>
                <c:pt idx="46">
                  <c:v>0.200136</c:v>
                </c:pt>
                <c:pt idx="47">
                  <c:v>0.175938</c:v>
                </c:pt>
                <c:pt idx="48">
                  <c:v>0.183431</c:v>
                </c:pt>
                <c:pt idx="49">
                  <c:v>0.147439</c:v>
                </c:pt>
                <c:pt idx="50">
                  <c:v>0.159796</c:v>
                </c:pt>
                <c:pt idx="51">
                  <c:v>0.163809</c:v>
                </c:pt>
                <c:pt idx="52">
                  <c:v>0.145597</c:v>
                </c:pt>
                <c:pt idx="53">
                  <c:v>0.153729</c:v>
                </c:pt>
                <c:pt idx="54">
                  <c:v>0.158743</c:v>
                </c:pt>
                <c:pt idx="55">
                  <c:v>0.197736</c:v>
                </c:pt>
                <c:pt idx="56">
                  <c:v>0.136187</c:v>
                </c:pt>
                <c:pt idx="57">
                  <c:v>0.19647</c:v>
                </c:pt>
                <c:pt idx="58">
                  <c:v>0.171316</c:v>
                </c:pt>
                <c:pt idx="59">
                  <c:v>0.25105</c:v>
                </c:pt>
                <c:pt idx="60">
                  <c:v>0.146775</c:v>
                </c:pt>
                <c:pt idx="61">
                  <c:v>0.185286</c:v>
                </c:pt>
                <c:pt idx="62">
                  <c:v>0.150837</c:v>
                </c:pt>
                <c:pt idx="63">
                  <c:v>0.179202</c:v>
                </c:pt>
                <c:pt idx="64">
                  <c:v>0.183629</c:v>
                </c:pt>
                <c:pt idx="65">
                  <c:v>0.146956</c:v>
                </c:pt>
                <c:pt idx="66">
                  <c:v>0.191295</c:v>
                </c:pt>
                <c:pt idx="67">
                  <c:v>0.148654</c:v>
                </c:pt>
                <c:pt idx="68">
                  <c:v>0.170505</c:v>
                </c:pt>
                <c:pt idx="69">
                  <c:v>0.136923</c:v>
                </c:pt>
                <c:pt idx="70">
                  <c:v>0.152147</c:v>
                </c:pt>
                <c:pt idx="71">
                  <c:v>0.14056</c:v>
                </c:pt>
                <c:pt idx="72">
                  <c:v>0.147427</c:v>
                </c:pt>
                <c:pt idx="73">
                  <c:v>0.299228</c:v>
                </c:pt>
                <c:pt idx="74">
                  <c:v>0.166443</c:v>
                </c:pt>
                <c:pt idx="75">
                  <c:v>0.152445</c:v>
                </c:pt>
                <c:pt idx="76">
                  <c:v>0.156272</c:v>
                </c:pt>
                <c:pt idx="77">
                  <c:v>0.122175</c:v>
                </c:pt>
                <c:pt idx="78">
                  <c:v>0.13261</c:v>
                </c:pt>
                <c:pt idx="79">
                  <c:v>0.142087</c:v>
                </c:pt>
                <c:pt idx="80">
                  <c:v>0.133414</c:v>
                </c:pt>
                <c:pt idx="81">
                  <c:v>0.138843</c:v>
                </c:pt>
                <c:pt idx="82">
                  <c:v>0.137501</c:v>
                </c:pt>
                <c:pt idx="83">
                  <c:v>0.205369</c:v>
                </c:pt>
                <c:pt idx="84">
                  <c:v>0.140628</c:v>
                </c:pt>
                <c:pt idx="85">
                  <c:v>0.138814</c:v>
                </c:pt>
                <c:pt idx="86">
                  <c:v>0.157194</c:v>
                </c:pt>
                <c:pt idx="87">
                  <c:v>0.144328</c:v>
                </c:pt>
                <c:pt idx="88">
                  <c:v>0.127462</c:v>
                </c:pt>
                <c:pt idx="89">
                  <c:v>0.144527</c:v>
                </c:pt>
                <c:pt idx="90">
                  <c:v>0.130992</c:v>
                </c:pt>
                <c:pt idx="91">
                  <c:v>0.212879</c:v>
                </c:pt>
                <c:pt idx="92">
                  <c:v>0.135952</c:v>
                </c:pt>
                <c:pt idx="93">
                  <c:v>0.132745</c:v>
                </c:pt>
                <c:pt idx="94">
                  <c:v>0.179289</c:v>
                </c:pt>
                <c:pt idx="95">
                  <c:v>0.186664</c:v>
                </c:pt>
                <c:pt idx="96">
                  <c:v>0.167394</c:v>
                </c:pt>
                <c:pt idx="97">
                  <c:v>0.164691</c:v>
                </c:pt>
                <c:pt idx="98">
                  <c:v>0.137579</c:v>
                </c:pt>
                <c:pt idx="99">
                  <c:v>0.140023</c:v>
                </c:pt>
                <c:pt idx="100">
                  <c:v>0.157694</c:v>
                </c:pt>
                <c:pt idx="101">
                  <c:v>0.158784</c:v>
                </c:pt>
                <c:pt idx="102">
                  <c:v>0.150013</c:v>
                </c:pt>
                <c:pt idx="103">
                  <c:v>0.139325</c:v>
                </c:pt>
                <c:pt idx="104">
                  <c:v>0.12743</c:v>
                </c:pt>
                <c:pt idx="105">
                  <c:v>0.12291</c:v>
                </c:pt>
                <c:pt idx="106">
                  <c:v>0.125248</c:v>
                </c:pt>
                <c:pt idx="107">
                  <c:v>0.141662</c:v>
                </c:pt>
                <c:pt idx="108">
                  <c:v>0.150677</c:v>
                </c:pt>
                <c:pt idx="109">
                  <c:v>0.136615</c:v>
                </c:pt>
                <c:pt idx="110">
                  <c:v>0.134712</c:v>
                </c:pt>
                <c:pt idx="111">
                  <c:v>0.130631</c:v>
                </c:pt>
                <c:pt idx="112">
                  <c:v>0.118882</c:v>
                </c:pt>
                <c:pt idx="113">
                  <c:v>0.132369</c:v>
                </c:pt>
                <c:pt idx="114">
                  <c:v>0.12342</c:v>
                </c:pt>
                <c:pt idx="115">
                  <c:v>0.118648</c:v>
                </c:pt>
                <c:pt idx="116">
                  <c:v>0.131876</c:v>
                </c:pt>
                <c:pt idx="117">
                  <c:v>0.155697</c:v>
                </c:pt>
                <c:pt idx="118">
                  <c:v>0.123411</c:v>
                </c:pt>
                <c:pt idx="119">
                  <c:v>0.145695</c:v>
                </c:pt>
                <c:pt idx="120">
                  <c:v>0.120127</c:v>
                </c:pt>
                <c:pt idx="121">
                  <c:v>0.119329</c:v>
                </c:pt>
                <c:pt idx="122">
                  <c:v>0.120843</c:v>
                </c:pt>
                <c:pt idx="123">
                  <c:v>0.175985</c:v>
                </c:pt>
                <c:pt idx="124">
                  <c:v>0.11618</c:v>
                </c:pt>
                <c:pt idx="125">
                  <c:v>0.118161</c:v>
                </c:pt>
                <c:pt idx="126">
                  <c:v>0.129642</c:v>
                </c:pt>
                <c:pt idx="127">
                  <c:v>0.133593</c:v>
                </c:pt>
                <c:pt idx="128">
                  <c:v>0.123889</c:v>
                </c:pt>
                <c:pt idx="129">
                  <c:v>0.129958</c:v>
                </c:pt>
                <c:pt idx="130">
                  <c:v>0.119004</c:v>
                </c:pt>
                <c:pt idx="131">
                  <c:v>0.128435</c:v>
                </c:pt>
                <c:pt idx="132">
                  <c:v>0.118237</c:v>
                </c:pt>
                <c:pt idx="133">
                  <c:v>0.126599</c:v>
                </c:pt>
                <c:pt idx="134">
                  <c:v>0.157536</c:v>
                </c:pt>
                <c:pt idx="135">
                  <c:v>0.135807</c:v>
                </c:pt>
                <c:pt idx="136">
                  <c:v>0.121287</c:v>
                </c:pt>
                <c:pt idx="137">
                  <c:v>0.140946</c:v>
                </c:pt>
                <c:pt idx="138">
                  <c:v>0.133256</c:v>
                </c:pt>
                <c:pt idx="139">
                  <c:v>0.117724</c:v>
                </c:pt>
                <c:pt idx="140">
                  <c:v>0.11091</c:v>
                </c:pt>
                <c:pt idx="141">
                  <c:v>0.124584</c:v>
                </c:pt>
                <c:pt idx="142">
                  <c:v>0.120635</c:v>
                </c:pt>
                <c:pt idx="143">
                  <c:v>0.110373</c:v>
                </c:pt>
                <c:pt idx="144">
                  <c:v>0.116908</c:v>
                </c:pt>
                <c:pt idx="145">
                  <c:v>0.128106</c:v>
                </c:pt>
                <c:pt idx="146">
                  <c:v>0.130332</c:v>
                </c:pt>
                <c:pt idx="147">
                  <c:v>0.126696</c:v>
                </c:pt>
                <c:pt idx="148">
                  <c:v>0.132659</c:v>
                </c:pt>
                <c:pt idx="149">
                  <c:v>0.124035</c:v>
                </c:pt>
                <c:pt idx="150">
                  <c:v>0.120224</c:v>
                </c:pt>
                <c:pt idx="151">
                  <c:v>0.109767</c:v>
                </c:pt>
                <c:pt idx="152">
                  <c:v>0.126269</c:v>
                </c:pt>
                <c:pt idx="153">
                  <c:v>0.126612</c:v>
                </c:pt>
                <c:pt idx="154">
                  <c:v>0.13014</c:v>
                </c:pt>
                <c:pt idx="155">
                  <c:v>0.120265</c:v>
                </c:pt>
                <c:pt idx="156">
                  <c:v>0.120267</c:v>
                </c:pt>
                <c:pt idx="157">
                  <c:v>0.111278</c:v>
                </c:pt>
                <c:pt idx="158">
                  <c:v>0.118345</c:v>
                </c:pt>
                <c:pt idx="159">
                  <c:v>0.117602</c:v>
                </c:pt>
                <c:pt idx="160">
                  <c:v>0.11667</c:v>
                </c:pt>
                <c:pt idx="161">
                  <c:v>0.114515</c:v>
                </c:pt>
                <c:pt idx="162">
                  <c:v>0.116441</c:v>
                </c:pt>
                <c:pt idx="163">
                  <c:v>0.124651</c:v>
                </c:pt>
                <c:pt idx="164">
                  <c:v>0.109014</c:v>
                </c:pt>
                <c:pt idx="165">
                  <c:v>0.122933</c:v>
                </c:pt>
                <c:pt idx="166">
                  <c:v>0.105156</c:v>
                </c:pt>
                <c:pt idx="167">
                  <c:v>0.115171</c:v>
                </c:pt>
                <c:pt idx="168">
                  <c:v>0.115482</c:v>
                </c:pt>
                <c:pt idx="169">
                  <c:v>0.109707</c:v>
                </c:pt>
                <c:pt idx="170">
                  <c:v>0.129638</c:v>
                </c:pt>
                <c:pt idx="171">
                  <c:v>0.145531</c:v>
                </c:pt>
                <c:pt idx="172">
                  <c:v>0.129027</c:v>
                </c:pt>
                <c:pt idx="173">
                  <c:v>0.110146</c:v>
                </c:pt>
                <c:pt idx="174">
                  <c:v>0.122115</c:v>
                </c:pt>
                <c:pt idx="175">
                  <c:v>0.132587</c:v>
                </c:pt>
                <c:pt idx="176">
                  <c:v>0.132338</c:v>
                </c:pt>
                <c:pt idx="177">
                  <c:v>0.122533</c:v>
                </c:pt>
                <c:pt idx="178">
                  <c:v>0.115616</c:v>
                </c:pt>
                <c:pt idx="179">
                  <c:v>0.108713</c:v>
                </c:pt>
                <c:pt idx="180">
                  <c:v>0.125204</c:v>
                </c:pt>
                <c:pt idx="181">
                  <c:v>0.126307</c:v>
                </c:pt>
                <c:pt idx="182">
                  <c:v>0.108162</c:v>
                </c:pt>
                <c:pt idx="183">
                  <c:v>0.121592</c:v>
                </c:pt>
                <c:pt idx="184">
                  <c:v>0.122073</c:v>
                </c:pt>
                <c:pt idx="185">
                  <c:v>0.118868</c:v>
                </c:pt>
                <c:pt idx="186">
                  <c:v>0.107558</c:v>
                </c:pt>
                <c:pt idx="187">
                  <c:v>0.119708</c:v>
                </c:pt>
                <c:pt idx="188">
                  <c:v>0.108165</c:v>
                </c:pt>
                <c:pt idx="189">
                  <c:v>0.1132</c:v>
                </c:pt>
                <c:pt idx="190">
                  <c:v>0.10092</c:v>
                </c:pt>
                <c:pt idx="191">
                  <c:v>0.109905</c:v>
                </c:pt>
                <c:pt idx="192">
                  <c:v>0.104096</c:v>
                </c:pt>
                <c:pt idx="193">
                  <c:v>0.122775</c:v>
                </c:pt>
                <c:pt idx="194">
                  <c:v>0.139413</c:v>
                </c:pt>
                <c:pt idx="195">
                  <c:v>0.124793</c:v>
                </c:pt>
                <c:pt idx="196">
                  <c:v>0.126255</c:v>
                </c:pt>
                <c:pt idx="197">
                  <c:v>0.132809</c:v>
                </c:pt>
                <c:pt idx="198">
                  <c:v>0.123035</c:v>
                </c:pt>
                <c:pt idx="199">
                  <c:v>0.126027</c:v>
                </c:pt>
                <c:pt idx="200">
                  <c:v>0.121213</c:v>
                </c:pt>
                <c:pt idx="201">
                  <c:v>0.114646</c:v>
                </c:pt>
                <c:pt idx="202">
                  <c:v>0.10731</c:v>
                </c:pt>
                <c:pt idx="203">
                  <c:v>0.10771</c:v>
                </c:pt>
                <c:pt idx="204">
                  <c:v>0.108083</c:v>
                </c:pt>
                <c:pt idx="205">
                  <c:v>0.124079</c:v>
                </c:pt>
                <c:pt idx="206">
                  <c:v>0.10903</c:v>
                </c:pt>
                <c:pt idx="207">
                  <c:v>0.104523</c:v>
                </c:pt>
                <c:pt idx="208">
                  <c:v>0.119444</c:v>
                </c:pt>
                <c:pt idx="209">
                  <c:v>0.106297</c:v>
                </c:pt>
                <c:pt idx="210">
                  <c:v>0.108622</c:v>
                </c:pt>
                <c:pt idx="211">
                  <c:v>0.118167</c:v>
                </c:pt>
                <c:pt idx="212">
                  <c:v>0.130663</c:v>
                </c:pt>
                <c:pt idx="213">
                  <c:v>0.135502</c:v>
                </c:pt>
                <c:pt idx="214">
                  <c:v>0.103122</c:v>
                </c:pt>
                <c:pt idx="215">
                  <c:v>0.11057</c:v>
                </c:pt>
                <c:pt idx="216">
                  <c:v>0.097327</c:v>
                </c:pt>
                <c:pt idx="217">
                  <c:v>0.109274</c:v>
                </c:pt>
                <c:pt idx="218">
                  <c:v>0.116304</c:v>
                </c:pt>
                <c:pt idx="219">
                  <c:v>0.109146</c:v>
                </c:pt>
                <c:pt idx="220">
                  <c:v>0.143612</c:v>
                </c:pt>
                <c:pt idx="221">
                  <c:v>0.102712</c:v>
                </c:pt>
                <c:pt idx="222">
                  <c:v>0.105001</c:v>
                </c:pt>
                <c:pt idx="223">
                  <c:v>0.112613</c:v>
                </c:pt>
                <c:pt idx="224">
                  <c:v>0.109087</c:v>
                </c:pt>
                <c:pt idx="225">
                  <c:v>0.110329</c:v>
                </c:pt>
                <c:pt idx="226">
                  <c:v>0.106743</c:v>
                </c:pt>
                <c:pt idx="227">
                  <c:v>0.103837</c:v>
                </c:pt>
                <c:pt idx="228">
                  <c:v>0.108992</c:v>
                </c:pt>
                <c:pt idx="229">
                  <c:v>0.105077</c:v>
                </c:pt>
                <c:pt idx="230">
                  <c:v>0.099688</c:v>
                </c:pt>
                <c:pt idx="231">
                  <c:v>0.133988</c:v>
                </c:pt>
                <c:pt idx="232">
                  <c:v>0.099973</c:v>
                </c:pt>
                <c:pt idx="233">
                  <c:v>0.101651</c:v>
                </c:pt>
                <c:pt idx="234">
                  <c:v>0.110917</c:v>
                </c:pt>
                <c:pt idx="235">
                  <c:v>0.114888</c:v>
                </c:pt>
                <c:pt idx="236">
                  <c:v>0.109143</c:v>
                </c:pt>
                <c:pt idx="237">
                  <c:v>0.103316</c:v>
                </c:pt>
                <c:pt idx="238">
                  <c:v>0.102787</c:v>
                </c:pt>
                <c:pt idx="239">
                  <c:v>0.103815</c:v>
                </c:pt>
                <c:pt idx="240">
                  <c:v>0.109209</c:v>
                </c:pt>
                <c:pt idx="241">
                  <c:v>0.107886</c:v>
                </c:pt>
                <c:pt idx="242">
                  <c:v>0.110236</c:v>
                </c:pt>
                <c:pt idx="243">
                  <c:v>0.099616</c:v>
                </c:pt>
                <c:pt idx="244">
                  <c:v>0.098455</c:v>
                </c:pt>
                <c:pt idx="245">
                  <c:v>0.117052</c:v>
                </c:pt>
                <c:pt idx="246">
                  <c:v>0.111789</c:v>
                </c:pt>
                <c:pt idx="247">
                  <c:v>0.10174</c:v>
                </c:pt>
                <c:pt idx="248">
                  <c:v>0.105235</c:v>
                </c:pt>
                <c:pt idx="249">
                  <c:v>0.111787</c:v>
                </c:pt>
                <c:pt idx="250">
                  <c:v>0.106702</c:v>
                </c:pt>
                <c:pt idx="251">
                  <c:v>0.100204</c:v>
                </c:pt>
                <c:pt idx="252">
                  <c:v>0.096547</c:v>
                </c:pt>
                <c:pt idx="253">
                  <c:v>0.100373</c:v>
                </c:pt>
                <c:pt idx="254">
                  <c:v>0.100573</c:v>
                </c:pt>
                <c:pt idx="255">
                  <c:v>0.103935</c:v>
                </c:pt>
                <c:pt idx="256">
                  <c:v>0.096447</c:v>
                </c:pt>
                <c:pt idx="257">
                  <c:v>0.102093</c:v>
                </c:pt>
                <c:pt idx="258">
                  <c:v>0.096541</c:v>
                </c:pt>
                <c:pt idx="259">
                  <c:v>0.098957</c:v>
                </c:pt>
                <c:pt idx="260">
                  <c:v>0.101406</c:v>
                </c:pt>
                <c:pt idx="261">
                  <c:v>0.103085</c:v>
                </c:pt>
                <c:pt idx="262">
                  <c:v>0.100864</c:v>
                </c:pt>
                <c:pt idx="263">
                  <c:v>0.09945</c:v>
                </c:pt>
                <c:pt idx="264">
                  <c:v>0.117121</c:v>
                </c:pt>
                <c:pt idx="265">
                  <c:v>0.094901</c:v>
                </c:pt>
                <c:pt idx="266">
                  <c:v>0.11406</c:v>
                </c:pt>
                <c:pt idx="267">
                  <c:v>0.121677</c:v>
                </c:pt>
                <c:pt idx="268">
                  <c:v>0.115536</c:v>
                </c:pt>
                <c:pt idx="269">
                  <c:v>0.122035</c:v>
                </c:pt>
                <c:pt idx="270">
                  <c:v>0.102339</c:v>
                </c:pt>
                <c:pt idx="271">
                  <c:v>0.117971</c:v>
                </c:pt>
                <c:pt idx="272">
                  <c:v>0.103678</c:v>
                </c:pt>
                <c:pt idx="273">
                  <c:v>0.099519</c:v>
                </c:pt>
                <c:pt idx="274">
                  <c:v>0.096909</c:v>
                </c:pt>
                <c:pt idx="275">
                  <c:v>0.097899</c:v>
                </c:pt>
                <c:pt idx="276">
                  <c:v>0.099402</c:v>
                </c:pt>
                <c:pt idx="277">
                  <c:v>0.098669</c:v>
                </c:pt>
                <c:pt idx="278">
                  <c:v>0.111523</c:v>
                </c:pt>
                <c:pt idx="279">
                  <c:v>0.099699</c:v>
                </c:pt>
                <c:pt idx="280">
                  <c:v>0.100199</c:v>
                </c:pt>
                <c:pt idx="281">
                  <c:v>0.121422</c:v>
                </c:pt>
                <c:pt idx="282">
                  <c:v>0.098426</c:v>
                </c:pt>
                <c:pt idx="283">
                  <c:v>0.095742</c:v>
                </c:pt>
                <c:pt idx="284">
                  <c:v>0.103841</c:v>
                </c:pt>
                <c:pt idx="285">
                  <c:v>0.097289</c:v>
                </c:pt>
                <c:pt idx="286">
                  <c:v>0.104011</c:v>
                </c:pt>
                <c:pt idx="287">
                  <c:v>0.107471</c:v>
                </c:pt>
                <c:pt idx="288">
                  <c:v>0.095974</c:v>
                </c:pt>
                <c:pt idx="289">
                  <c:v>0.104232</c:v>
                </c:pt>
                <c:pt idx="290">
                  <c:v>0.091039</c:v>
                </c:pt>
                <c:pt idx="291">
                  <c:v>0.099699</c:v>
                </c:pt>
                <c:pt idx="292">
                  <c:v>0.105997</c:v>
                </c:pt>
                <c:pt idx="293">
                  <c:v>0.105607</c:v>
                </c:pt>
                <c:pt idx="294">
                  <c:v>0.096975</c:v>
                </c:pt>
                <c:pt idx="295">
                  <c:v>0.109889</c:v>
                </c:pt>
                <c:pt idx="296">
                  <c:v>0.096683</c:v>
                </c:pt>
                <c:pt idx="297">
                  <c:v>0.093651</c:v>
                </c:pt>
                <c:pt idx="298">
                  <c:v>0.09975</c:v>
                </c:pt>
                <c:pt idx="299">
                  <c:v>0.093832</c:v>
                </c:pt>
                <c:pt idx="300">
                  <c:v>0.101298</c:v>
                </c:pt>
                <c:pt idx="301">
                  <c:v>0.090678</c:v>
                </c:pt>
                <c:pt idx="302">
                  <c:v>0.095483</c:v>
                </c:pt>
                <c:pt idx="303">
                  <c:v>0.099497</c:v>
                </c:pt>
                <c:pt idx="304">
                  <c:v>0.093184</c:v>
                </c:pt>
                <c:pt idx="305">
                  <c:v>0.097147</c:v>
                </c:pt>
                <c:pt idx="306">
                  <c:v>0.098288</c:v>
                </c:pt>
                <c:pt idx="307">
                  <c:v>0.111322</c:v>
                </c:pt>
                <c:pt idx="308">
                  <c:v>0.10634</c:v>
                </c:pt>
                <c:pt idx="309">
                  <c:v>0.117613</c:v>
                </c:pt>
                <c:pt idx="310">
                  <c:v>0.096242</c:v>
                </c:pt>
                <c:pt idx="311">
                  <c:v>0.11416</c:v>
                </c:pt>
                <c:pt idx="312">
                  <c:v>0.115183</c:v>
                </c:pt>
                <c:pt idx="313">
                  <c:v>0.089702</c:v>
                </c:pt>
                <c:pt idx="314">
                  <c:v>0.104474</c:v>
                </c:pt>
                <c:pt idx="315">
                  <c:v>0.097107</c:v>
                </c:pt>
                <c:pt idx="316">
                  <c:v>0.095572</c:v>
                </c:pt>
                <c:pt idx="317">
                  <c:v>0.099124</c:v>
                </c:pt>
                <c:pt idx="318">
                  <c:v>0.094944</c:v>
                </c:pt>
                <c:pt idx="319">
                  <c:v>0.095792</c:v>
                </c:pt>
                <c:pt idx="320">
                  <c:v>0.093039</c:v>
                </c:pt>
                <c:pt idx="321">
                  <c:v>0.106296</c:v>
                </c:pt>
                <c:pt idx="322">
                  <c:v>0.092132</c:v>
                </c:pt>
                <c:pt idx="323">
                  <c:v>0.090284</c:v>
                </c:pt>
                <c:pt idx="324">
                  <c:v>0.10045</c:v>
                </c:pt>
                <c:pt idx="325">
                  <c:v>0.09676</c:v>
                </c:pt>
                <c:pt idx="326">
                  <c:v>0.094707</c:v>
                </c:pt>
                <c:pt idx="327">
                  <c:v>0.092237</c:v>
                </c:pt>
                <c:pt idx="328">
                  <c:v>0.091293</c:v>
                </c:pt>
                <c:pt idx="329">
                  <c:v>0.100731</c:v>
                </c:pt>
                <c:pt idx="330">
                  <c:v>0.095212</c:v>
                </c:pt>
                <c:pt idx="331">
                  <c:v>0.101063</c:v>
                </c:pt>
                <c:pt idx="332">
                  <c:v>0.090403</c:v>
                </c:pt>
                <c:pt idx="333">
                  <c:v>0.090234</c:v>
                </c:pt>
                <c:pt idx="334">
                  <c:v>0.08841</c:v>
                </c:pt>
                <c:pt idx="335">
                  <c:v>0.100002</c:v>
                </c:pt>
                <c:pt idx="336">
                  <c:v>0.089911</c:v>
                </c:pt>
                <c:pt idx="337">
                  <c:v>0.090678</c:v>
                </c:pt>
                <c:pt idx="338">
                  <c:v>0.094278</c:v>
                </c:pt>
                <c:pt idx="339">
                  <c:v>0.093519</c:v>
                </c:pt>
                <c:pt idx="340">
                  <c:v>0.103705</c:v>
                </c:pt>
                <c:pt idx="341">
                  <c:v>0.091625</c:v>
                </c:pt>
                <c:pt idx="342">
                  <c:v>0.109121</c:v>
                </c:pt>
                <c:pt idx="343">
                  <c:v>0.095157</c:v>
                </c:pt>
                <c:pt idx="344">
                  <c:v>0.098886</c:v>
                </c:pt>
                <c:pt idx="345">
                  <c:v>0.090165</c:v>
                </c:pt>
                <c:pt idx="346">
                  <c:v>0.092896</c:v>
                </c:pt>
                <c:pt idx="347">
                  <c:v>0.095269</c:v>
                </c:pt>
                <c:pt idx="348">
                  <c:v>0.090162</c:v>
                </c:pt>
                <c:pt idx="349">
                  <c:v>0.095084</c:v>
                </c:pt>
                <c:pt idx="350">
                  <c:v>0.089725</c:v>
                </c:pt>
                <c:pt idx="351">
                  <c:v>0.090117</c:v>
                </c:pt>
                <c:pt idx="352">
                  <c:v>0.092505</c:v>
                </c:pt>
                <c:pt idx="353">
                  <c:v>0.099697</c:v>
                </c:pt>
                <c:pt idx="354">
                  <c:v>0.090118</c:v>
                </c:pt>
                <c:pt idx="355">
                  <c:v>0.093477</c:v>
                </c:pt>
                <c:pt idx="356">
                  <c:v>0.088844</c:v>
                </c:pt>
                <c:pt idx="357">
                  <c:v>0.087979</c:v>
                </c:pt>
                <c:pt idx="358">
                  <c:v>0.13163</c:v>
                </c:pt>
                <c:pt idx="359">
                  <c:v>0.090723</c:v>
                </c:pt>
                <c:pt idx="360">
                  <c:v>0.086739</c:v>
                </c:pt>
                <c:pt idx="361">
                  <c:v>0.098658</c:v>
                </c:pt>
                <c:pt idx="362">
                  <c:v>0.087458</c:v>
                </c:pt>
                <c:pt idx="363">
                  <c:v>0.098088</c:v>
                </c:pt>
                <c:pt idx="364">
                  <c:v>0.1039</c:v>
                </c:pt>
                <c:pt idx="365">
                  <c:v>0.085811</c:v>
                </c:pt>
                <c:pt idx="366">
                  <c:v>0.099242</c:v>
                </c:pt>
                <c:pt idx="367">
                  <c:v>0.093034</c:v>
                </c:pt>
                <c:pt idx="368">
                  <c:v>0.100361</c:v>
                </c:pt>
                <c:pt idx="369">
                  <c:v>0.092559</c:v>
                </c:pt>
                <c:pt idx="370">
                  <c:v>0.088638</c:v>
                </c:pt>
                <c:pt idx="371">
                  <c:v>0.095479</c:v>
                </c:pt>
                <c:pt idx="372">
                  <c:v>0.103459</c:v>
                </c:pt>
                <c:pt idx="373">
                  <c:v>0.109539</c:v>
                </c:pt>
                <c:pt idx="374">
                  <c:v>0.099113</c:v>
                </c:pt>
                <c:pt idx="375">
                  <c:v>0.086583</c:v>
                </c:pt>
                <c:pt idx="376">
                  <c:v>0.092555</c:v>
                </c:pt>
                <c:pt idx="377">
                  <c:v>0.092262</c:v>
                </c:pt>
                <c:pt idx="378">
                  <c:v>0.087711</c:v>
                </c:pt>
                <c:pt idx="379">
                  <c:v>0.098234</c:v>
                </c:pt>
                <c:pt idx="380">
                  <c:v>0.0977</c:v>
                </c:pt>
                <c:pt idx="381">
                  <c:v>0.091167</c:v>
                </c:pt>
                <c:pt idx="382">
                  <c:v>0.099965</c:v>
                </c:pt>
                <c:pt idx="383">
                  <c:v>0.09628</c:v>
                </c:pt>
                <c:pt idx="384">
                  <c:v>0.088373</c:v>
                </c:pt>
                <c:pt idx="385">
                  <c:v>0.086775</c:v>
                </c:pt>
                <c:pt idx="386">
                  <c:v>0.096362</c:v>
                </c:pt>
                <c:pt idx="387">
                  <c:v>0.086887</c:v>
                </c:pt>
                <c:pt idx="388">
                  <c:v>0.090186</c:v>
                </c:pt>
                <c:pt idx="389">
                  <c:v>0.090689</c:v>
                </c:pt>
                <c:pt idx="390">
                  <c:v>0.08591</c:v>
                </c:pt>
                <c:pt idx="391">
                  <c:v>0.08934</c:v>
                </c:pt>
                <c:pt idx="392">
                  <c:v>0.102534</c:v>
                </c:pt>
                <c:pt idx="393">
                  <c:v>0.08492</c:v>
                </c:pt>
                <c:pt idx="394">
                  <c:v>0.093043</c:v>
                </c:pt>
                <c:pt idx="395">
                  <c:v>0.088196</c:v>
                </c:pt>
                <c:pt idx="396">
                  <c:v>0.08972</c:v>
                </c:pt>
                <c:pt idx="397">
                  <c:v>0.085266</c:v>
                </c:pt>
                <c:pt idx="398">
                  <c:v>0.091345</c:v>
                </c:pt>
                <c:pt idx="399">
                  <c:v>0.122508</c:v>
                </c:pt>
                <c:pt idx="400">
                  <c:v>0.089075</c:v>
                </c:pt>
                <c:pt idx="401">
                  <c:v>0.090481</c:v>
                </c:pt>
                <c:pt idx="402">
                  <c:v>0.089837</c:v>
                </c:pt>
                <c:pt idx="403">
                  <c:v>0.086265</c:v>
                </c:pt>
                <c:pt idx="404">
                  <c:v>0.090527</c:v>
                </c:pt>
                <c:pt idx="405">
                  <c:v>0.090456</c:v>
                </c:pt>
                <c:pt idx="406">
                  <c:v>0.08852</c:v>
                </c:pt>
                <c:pt idx="407">
                  <c:v>0.088911</c:v>
                </c:pt>
                <c:pt idx="408">
                  <c:v>0.092522</c:v>
                </c:pt>
                <c:pt idx="409">
                  <c:v>0.087764</c:v>
                </c:pt>
                <c:pt idx="410">
                  <c:v>0.089054</c:v>
                </c:pt>
                <c:pt idx="411">
                  <c:v>0.085034</c:v>
                </c:pt>
                <c:pt idx="412">
                  <c:v>0.08902</c:v>
                </c:pt>
                <c:pt idx="413">
                  <c:v>0.082354</c:v>
                </c:pt>
                <c:pt idx="414">
                  <c:v>0.08628</c:v>
                </c:pt>
                <c:pt idx="415">
                  <c:v>0.090796</c:v>
                </c:pt>
                <c:pt idx="416">
                  <c:v>0.091007</c:v>
                </c:pt>
                <c:pt idx="417">
                  <c:v>0.087141</c:v>
                </c:pt>
                <c:pt idx="418">
                  <c:v>0.089289</c:v>
                </c:pt>
                <c:pt idx="419">
                  <c:v>0.09355</c:v>
                </c:pt>
                <c:pt idx="420">
                  <c:v>0.084209</c:v>
                </c:pt>
                <c:pt idx="421">
                  <c:v>0.087897</c:v>
                </c:pt>
                <c:pt idx="422">
                  <c:v>0.093811</c:v>
                </c:pt>
                <c:pt idx="423">
                  <c:v>0.084306</c:v>
                </c:pt>
                <c:pt idx="424">
                  <c:v>0.086594</c:v>
                </c:pt>
                <c:pt idx="425">
                  <c:v>0.084159</c:v>
                </c:pt>
                <c:pt idx="426">
                  <c:v>0.084733</c:v>
                </c:pt>
                <c:pt idx="427">
                  <c:v>0.084083</c:v>
                </c:pt>
                <c:pt idx="428">
                  <c:v>0.089542</c:v>
                </c:pt>
                <c:pt idx="429">
                  <c:v>0.089173</c:v>
                </c:pt>
                <c:pt idx="430">
                  <c:v>0.093376</c:v>
                </c:pt>
                <c:pt idx="431">
                  <c:v>0.086852</c:v>
                </c:pt>
                <c:pt idx="432">
                  <c:v>0.0832</c:v>
                </c:pt>
                <c:pt idx="433">
                  <c:v>0.085104</c:v>
                </c:pt>
                <c:pt idx="434">
                  <c:v>0.091718</c:v>
                </c:pt>
                <c:pt idx="435">
                  <c:v>0.094548</c:v>
                </c:pt>
                <c:pt idx="436">
                  <c:v>0.082744</c:v>
                </c:pt>
                <c:pt idx="437">
                  <c:v>0.085333</c:v>
                </c:pt>
                <c:pt idx="438">
                  <c:v>0.079905</c:v>
                </c:pt>
                <c:pt idx="439">
                  <c:v>0.089701</c:v>
                </c:pt>
                <c:pt idx="440">
                  <c:v>0.086266</c:v>
                </c:pt>
                <c:pt idx="441">
                  <c:v>0.083772</c:v>
                </c:pt>
                <c:pt idx="442">
                  <c:v>0.084834</c:v>
                </c:pt>
                <c:pt idx="443">
                  <c:v>0.088399</c:v>
                </c:pt>
                <c:pt idx="444">
                  <c:v>0.085736</c:v>
                </c:pt>
                <c:pt idx="445">
                  <c:v>0.082913</c:v>
                </c:pt>
                <c:pt idx="446">
                  <c:v>0.087617</c:v>
                </c:pt>
                <c:pt idx="447">
                  <c:v>0.082143</c:v>
                </c:pt>
                <c:pt idx="448">
                  <c:v>0.080227</c:v>
                </c:pt>
                <c:pt idx="449">
                  <c:v>0.091554</c:v>
                </c:pt>
                <c:pt idx="450">
                  <c:v>0.084869</c:v>
                </c:pt>
                <c:pt idx="451">
                  <c:v>0.088167</c:v>
                </c:pt>
                <c:pt idx="452">
                  <c:v>0.08349</c:v>
                </c:pt>
                <c:pt idx="453">
                  <c:v>0.089117</c:v>
                </c:pt>
                <c:pt idx="454">
                  <c:v>0.091236</c:v>
                </c:pt>
                <c:pt idx="455">
                  <c:v>0.082769</c:v>
                </c:pt>
                <c:pt idx="456">
                  <c:v>0.087767</c:v>
                </c:pt>
                <c:pt idx="457">
                  <c:v>0.083404</c:v>
                </c:pt>
                <c:pt idx="458">
                  <c:v>0.087594</c:v>
                </c:pt>
                <c:pt idx="459">
                  <c:v>0.081204</c:v>
                </c:pt>
                <c:pt idx="460">
                  <c:v>0.083078</c:v>
                </c:pt>
                <c:pt idx="461">
                  <c:v>0.083362</c:v>
                </c:pt>
                <c:pt idx="462">
                  <c:v>0.081558</c:v>
                </c:pt>
                <c:pt idx="463">
                  <c:v>0.084279</c:v>
                </c:pt>
                <c:pt idx="464">
                  <c:v>0.08371</c:v>
                </c:pt>
                <c:pt idx="465">
                  <c:v>0.080988</c:v>
                </c:pt>
                <c:pt idx="466">
                  <c:v>0.084599</c:v>
                </c:pt>
                <c:pt idx="467">
                  <c:v>0.082855</c:v>
                </c:pt>
                <c:pt idx="468">
                  <c:v>0.084327</c:v>
                </c:pt>
                <c:pt idx="469">
                  <c:v>0.081223</c:v>
                </c:pt>
                <c:pt idx="470">
                  <c:v>0.092302</c:v>
                </c:pt>
                <c:pt idx="471">
                  <c:v>0.084619</c:v>
                </c:pt>
                <c:pt idx="472">
                  <c:v>0.079971</c:v>
                </c:pt>
                <c:pt idx="473">
                  <c:v>0.093043</c:v>
                </c:pt>
                <c:pt idx="474">
                  <c:v>0.085856</c:v>
                </c:pt>
                <c:pt idx="475">
                  <c:v>0.080081</c:v>
                </c:pt>
                <c:pt idx="476">
                  <c:v>0.081736</c:v>
                </c:pt>
                <c:pt idx="477">
                  <c:v>0.092345</c:v>
                </c:pt>
                <c:pt idx="478">
                  <c:v>0.082791</c:v>
                </c:pt>
                <c:pt idx="479">
                  <c:v>0.079967</c:v>
                </c:pt>
                <c:pt idx="480">
                  <c:v>0.082624</c:v>
                </c:pt>
                <c:pt idx="481">
                  <c:v>0.082527</c:v>
                </c:pt>
                <c:pt idx="482">
                  <c:v>0.080002</c:v>
                </c:pt>
                <c:pt idx="483">
                  <c:v>0.086225</c:v>
                </c:pt>
                <c:pt idx="484">
                  <c:v>0.085097</c:v>
                </c:pt>
                <c:pt idx="485">
                  <c:v>0.08553</c:v>
                </c:pt>
                <c:pt idx="486">
                  <c:v>0.08515</c:v>
                </c:pt>
                <c:pt idx="487">
                  <c:v>0.08307</c:v>
                </c:pt>
                <c:pt idx="488">
                  <c:v>0.081258</c:v>
                </c:pt>
                <c:pt idx="489">
                  <c:v>0.090438</c:v>
                </c:pt>
                <c:pt idx="490">
                  <c:v>0.083977</c:v>
                </c:pt>
                <c:pt idx="491">
                  <c:v>0.082321</c:v>
                </c:pt>
                <c:pt idx="492">
                  <c:v>0.083356</c:v>
                </c:pt>
                <c:pt idx="493">
                  <c:v>0.081372</c:v>
                </c:pt>
                <c:pt idx="494">
                  <c:v>0.092596</c:v>
                </c:pt>
                <c:pt idx="495">
                  <c:v>0.079142</c:v>
                </c:pt>
                <c:pt idx="496">
                  <c:v>0.084707</c:v>
                </c:pt>
                <c:pt idx="497">
                  <c:v>0.080919</c:v>
                </c:pt>
                <c:pt idx="498">
                  <c:v>0.083009</c:v>
                </c:pt>
                <c:pt idx="499">
                  <c:v>0.079073</c:v>
                </c:pt>
                <c:pt idx="500">
                  <c:v>0.081233</c:v>
                </c:pt>
                <c:pt idx="501">
                  <c:v>0.084092</c:v>
                </c:pt>
                <c:pt idx="502">
                  <c:v>0.079383</c:v>
                </c:pt>
                <c:pt idx="503">
                  <c:v>0.079147</c:v>
                </c:pt>
                <c:pt idx="504">
                  <c:v>0.082012</c:v>
                </c:pt>
                <c:pt idx="505">
                  <c:v>0.07871</c:v>
                </c:pt>
                <c:pt idx="506">
                  <c:v>0.080164</c:v>
                </c:pt>
                <c:pt idx="507">
                  <c:v>0.081319</c:v>
                </c:pt>
                <c:pt idx="508">
                  <c:v>0.078035</c:v>
                </c:pt>
                <c:pt idx="509">
                  <c:v>0.08485</c:v>
                </c:pt>
                <c:pt idx="510">
                  <c:v>0.080601</c:v>
                </c:pt>
                <c:pt idx="511">
                  <c:v>0.081673</c:v>
                </c:pt>
                <c:pt idx="512">
                  <c:v>0.081141</c:v>
                </c:pt>
                <c:pt idx="513">
                  <c:v>0.078881</c:v>
                </c:pt>
                <c:pt idx="514">
                  <c:v>0.078811</c:v>
                </c:pt>
                <c:pt idx="515">
                  <c:v>0.082886</c:v>
                </c:pt>
                <c:pt idx="516">
                  <c:v>0.077565</c:v>
                </c:pt>
                <c:pt idx="517">
                  <c:v>0.086836</c:v>
                </c:pt>
                <c:pt idx="518">
                  <c:v>0.082086</c:v>
                </c:pt>
                <c:pt idx="519">
                  <c:v>0.086887</c:v>
                </c:pt>
                <c:pt idx="520">
                  <c:v>0.078763</c:v>
                </c:pt>
                <c:pt idx="521">
                  <c:v>0.078547</c:v>
                </c:pt>
                <c:pt idx="522">
                  <c:v>0.079872</c:v>
                </c:pt>
                <c:pt idx="523">
                  <c:v>0.078673</c:v>
                </c:pt>
                <c:pt idx="524">
                  <c:v>0.077526</c:v>
                </c:pt>
                <c:pt idx="525">
                  <c:v>0.081038</c:v>
                </c:pt>
                <c:pt idx="526">
                  <c:v>0.082076</c:v>
                </c:pt>
                <c:pt idx="527">
                  <c:v>0.079127</c:v>
                </c:pt>
                <c:pt idx="528">
                  <c:v>0.080849</c:v>
                </c:pt>
                <c:pt idx="529">
                  <c:v>0.084393</c:v>
                </c:pt>
                <c:pt idx="530">
                  <c:v>0.083342</c:v>
                </c:pt>
                <c:pt idx="531">
                  <c:v>0.079026</c:v>
                </c:pt>
                <c:pt idx="532">
                  <c:v>0.079388</c:v>
                </c:pt>
                <c:pt idx="533">
                  <c:v>0.07824</c:v>
                </c:pt>
                <c:pt idx="534">
                  <c:v>0.078922</c:v>
                </c:pt>
                <c:pt idx="535">
                  <c:v>0.077896</c:v>
                </c:pt>
                <c:pt idx="536">
                  <c:v>0.078846</c:v>
                </c:pt>
                <c:pt idx="537">
                  <c:v>0.078547</c:v>
                </c:pt>
                <c:pt idx="538">
                  <c:v>0.078618</c:v>
                </c:pt>
                <c:pt idx="539">
                  <c:v>0.078656</c:v>
                </c:pt>
                <c:pt idx="540">
                  <c:v>0.078702</c:v>
                </c:pt>
                <c:pt idx="541">
                  <c:v>0.083351</c:v>
                </c:pt>
                <c:pt idx="542">
                  <c:v>0.079583</c:v>
                </c:pt>
                <c:pt idx="543">
                  <c:v>0.078174</c:v>
                </c:pt>
                <c:pt idx="544">
                  <c:v>0.078007</c:v>
                </c:pt>
                <c:pt idx="545">
                  <c:v>0.07834</c:v>
                </c:pt>
                <c:pt idx="546">
                  <c:v>0.077451</c:v>
                </c:pt>
                <c:pt idx="547">
                  <c:v>0.083916</c:v>
                </c:pt>
                <c:pt idx="548">
                  <c:v>0.082016</c:v>
                </c:pt>
                <c:pt idx="549">
                  <c:v>0.077628</c:v>
                </c:pt>
                <c:pt idx="550">
                  <c:v>0.077816</c:v>
                </c:pt>
                <c:pt idx="551">
                  <c:v>0.081495</c:v>
                </c:pt>
                <c:pt idx="552">
                  <c:v>0.077752</c:v>
                </c:pt>
                <c:pt idx="553">
                  <c:v>0.077495</c:v>
                </c:pt>
                <c:pt idx="554">
                  <c:v>0.082546</c:v>
                </c:pt>
                <c:pt idx="555">
                  <c:v>0.077528</c:v>
                </c:pt>
                <c:pt idx="556">
                  <c:v>0.082384</c:v>
                </c:pt>
                <c:pt idx="557">
                  <c:v>0.08035</c:v>
                </c:pt>
                <c:pt idx="558">
                  <c:v>0.076707</c:v>
                </c:pt>
                <c:pt idx="559">
                  <c:v>0.079609</c:v>
                </c:pt>
                <c:pt idx="560">
                  <c:v>0.076904</c:v>
                </c:pt>
                <c:pt idx="561">
                  <c:v>0.07868</c:v>
                </c:pt>
                <c:pt idx="562">
                  <c:v>0.076534</c:v>
                </c:pt>
                <c:pt idx="563">
                  <c:v>0.078396</c:v>
                </c:pt>
                <c:pt idx="564">
                  <c:v>0.077154</c:v>
                </c:pt>
                <c:pt idx="565">
                  <c:v>0.07782</c:v>
                </c:pt>
                <c:pt idx="566">
                  <c:v>0.075946</c:v>
                </c:pt>
                <c:pt idx="567">
                  <c:v>0.076175</c:v>
                </c:pt>
                <c:pt idx="568">
                  <c:v>0.078471</c:v>
                </c:pt>
                <c:pt idx="569">
                  <c:v>0.076688</c:v>
                </c:pt>
                <c:pt idx="570">
                  <c:v>0.07673</c:v>
                </c:pt>
                <c:pt idx="571">
                  <c:v>0.079451</c:v>
                </c:pt>
                <c:pt idx="572">
                  <c:v>0.075898</c:v>
                </c:pt>
                <c:pt idx="573">
                  <c:v>0.07752</c:v>
                </c:pt>
                <c:pt idx="574">
                  <c:v>0.077033</c:v>
                </c:pt>
                <c:pt idx="575">
                  <c:v>0.081422</c:v>
                </c:pt>
                <c:pt idx="576">
                  <c:v>0.076606</c:v>
                </c:pt>
                <c:pt idx="577">
                  <c:v>0.07634</c:v>
                </c:pt>
                <c:pt idx="578">
                  <c:v>0.080668</c:v>
                </c:pt>
                <c:pt idx="579">
                  <c:v>0.076925</c:v>
                </c:pt>
                <c:pt idx="580">
                  <c:v>0.075557</c:v>
                </c:pt>
                <c:pt idx="581">
                  <c:v>0.078295</c:v>
                </c:pt>
                <c:pt idx="582">
                  <c:v>0.082093</c:v>
                </c:pt>
                <c:pt idx="583">
                  <c:v>0.076368</c:v>
                </c:pt>
                <c:pt idx="584">
                  <c:v>0.083456</c:v>
                </c:pt>
                <c:pt idx="585">
                  <c:v>0.077148</c:v>
                </c:pt>
                <c:pt idx="586">
                  <c:v>0.076584</c:v>
                </c:pt>
                <c:pt idx="587">
                  <c:v>0.076824</c:v>
                </c:pt>
                <c:pt idx="588">
                  <c:v>0.075451</c:v>
                </c:pt>
                <c:pt idx="589">
                  <c:v>0.075661</c:v>
                </c:pt>
                <c:pt idx="590">
                  <c:v>0.078509</c:v>
                </c:pt>
                <c:pt idx="591">
                  <c:v>0.077725</c:v>
                </c:pt>
                <c:pt idx="592">
                  <c:v>0.075433</c:v>
                </c:pt>
                <c:pt idx="593">
                  <c:v>0.079669</c:v>
                </c:pt>
                <c:pt idx="594">
                  <c:v>0.076062</c:v>
                </c:pt>
                <c:pt idx="595">
                  <c:v>0.077179</c:v>
                </c:pt>
                <c:pt idx="596">
                  <c:v>0.077432</c:v>
                </c:pt>
                <c:pt idx="597">
                  <c:v>0.07555</c:v>
                </c:pt>
                <c:pt idx="598">
                  <c:v>0.075963</c:v>
                </c:pt>
                <c:pt idx="599">
                  <c:v>0.076128</c:v>
                </c:pt>
                <c:pt idx="600">
                  <c:v>0.075067</c:v>
                </c:pt>
                <c:pt idx="601">
                  <c:v>0.075862</c:v>
                </c:pt>
                <c:pt idx="602">
                  <c:v>0.076973</c:v>
                </c:pt>
                <c:pt idx="603">
                  <c:v>0.08071</c:v>
                </c:pt>
                <c:pt idx="604">
                  <c:v>0.081764</c:v>
                </c:pt>
                <c:pt idx="605">
                  <c:v>0.075688</c:v>
                </c:pt>
                <c:pt idx="606">
                  <c:v>0.075876</c:v>
                </c:pt>
                <c:pt idx="607">
                  <c:v>0.075068</c:v>
                </c:pt>
                <c:pt idx="608">
                  <c:v>0.077209</c:v>
                </c:pt>
                <c:pt idx="609">
                  <c:v>0.075554</c:v>
                </c:pt>
                <c:pt idx="610">
                  <c:v>0.074661</c:v>
                </c:pt>
                <c:pt idx="611">
                  <c:v>0.076681</c:v>
                </c:pt>
                <c:pt idx="612">
                  <c:v>0.074939</c:v>
                </c:pt>
                <c:pt idx="613">
                  <c:v>0.075568</c:v>
                </c:pt>
                <c:pt idx="614">
                  <c:v>0.07501</c:v>
                </c:pt>
                <c:pt idx="615">
                  <c:v>0.074623</c:v>
                </c:pt>
                <c:pt idx="616">
                  <c:v>0.074293</c:v>
                </c:pt>
                <c:pt idx="617">
                  <c:v>0.074558</c:v>
                </c:pt>
                <c:pt idx="618">
                  <c:v>0.076828</c:v>
                </c:pt>
                <c:pt idx="619">
                  <c:v>0.074939</c:v>
                </c:pt>
                <c:pt idx="620">
                  <c:v>0.075768</c:v>
                </c:pt>
                <c:pt idx="621">
                  <c:v>0.075003</c:v>
                </c:pt>
                <c:pt idx="622">
                  <c:v>0.074287</c:v>
                </c:pt>
                <c:pt idx="623">
                  <c:v>0.075208</c:v>
                </c:pt>
                <c:pt idx="624">
                  <c:v>0.073106</c:v>
                </c:pt>
                <c:pt idx="625">
                  <c:v>0.075189</c:v>
                </c:pt>
                <c:pt idx="626">
                  <c:v>0.075445</c:v>
                </c:pt>
                <c:pt idx="627">
                  <c:v>0.076939</c:v>
                </c:pt>
                <c:pt idx="628">
                  <c:v>0.078787</c:v>
                </c:pt>
                <c:pt idx="629">
                  <c:v>0.075639</c:v>
                </c:pt>
                <c:pt idx="630">
                  <c:v>0.073904</c:v>
                </c:pt>
                <c:pt idx="631">
                  <c:v>0.073854</c:v>
                </c:pt>
                <c:pt idx="632">
                  <c:v>0.074655</c:v>
                </c:pt>
                <c:pt idx="633">
                  <c:v>0.076397</c:v>
                </c:pt>
                <c:pt idx="634">
                  <c:v>0.076675</c:v>
                </c:pt>
                <c:pt idx="635">
                  <c:v>0.076482</c:v>
                </c:pt>
                <c:pt idx="636">
                  <c:v>0.074424</c:v>
                </c:pt>
                <c:pt idx="637">
                  <c:v>0.079164</c:v>
                </c:pt>
                <c:pt idx="638">
                  <c:v>0.076656</c:v>
                </c:pt>
                <c:pt idx="639">
                  <c:v>0.073855</c:v>
                </c:pt>
                <c:pt idx="640">
                  <c:v>0.074876</c:v>
                </c:pt>
                <c:pt idx="641">
                  <c:v>0.075238</c:v>
                </c:pt>
                <c:pt idx="642">
                  <c:v>0.074157</c:v>
                </c:pt>
                <c:pt idx="643">
                  <c:v>0.073823</c:v>
                </c:pt>
                <c:pt idx="644">
                  <c:v>0.074707</c:v>
                </c:pt>
                <c:pt idx="645">
                  <c:v>0.074534</c:v>
                </c:pt>
                <c:pt idx="646">
                  <c:v>0.075085</c:v>
                </c:pt>
                <c:pt idx="647">
                  <c:v>0.074668</c:v>
                </c:pt>
                <c:pt idx="648">
                  <c:v>0.074562</c:v>
                </c:pt>
                <c:pt idx="649">
                  <c:v>0.075953</c:v>
                </c:pt>
                <c:pt idx="650">
                  <c:v>0.074746</c:v>
                </c:pt>
                <c:pt idx="651">
                  <c:v>0.073546</c:v>
                </c:pt>
                <c:pt idx="652">
                  <c:v>0.074908</c:v>
                </c:pt>
                <c:pt idx="653">
                  <c:v>0.07445</c:v>
                </c:pt>
                <c:pt idx="654">
                  <c:v>0.075987</c:v>
                </c:pt>
                <c:pt idx="655">
                  <c:v>0.073717</c:v>
                </c:pt>
                <c:pt idx="656">
                  <c:v>0.073888</c:v>
                </c:pt>
                <c:pt idx="657">
                  <c:v>0.074072</c:v>
                </c:pt>
                <c:pt idx="658">
                  <c:v>0.073278</c:v>
                </c:pt>
                <c:pt idx="659">
                  <c:v>0.073374</c:v>
                </c:pt>
                <c:pt idx="660">
                  <c:v>0.074885</c:v>
                </c:pt>
                <c:pt idx="661">
                  <c:v>0.073978</c:v>
                </c:pt>
                <c:pt idx="662">
                  <c:v>0.073028</c:v>
                </c:pt>
                <c:pt idx="663">
                  <c:v>0.073745</c:v>
                </c:pt>
                <c:pt idx="664">
                  <c:v>0.074169</c:v>
                </c:pt>
                <c:pt idx="665">
                  <c:v>0.075498</c:v>
                </c:pt>
                <c:pt idx="666">
                  <c:v>0.073148</c:v>
                </c:pt>
                <c:pt idx="667">
                  <c:v>0.080964</c:v>
                </c:pt>
                <c:pt idx="668">
                  <c:v>0.073446</c:v>
                </c:pt>
                <c:pt idx="669">
                  <c:v>0.074846</c:v>
                </c:pt>
                <c:pt idx="670">
                  <c:v>0.074108</c:v>
                </c:pt>
                <c:pt idx="671">
                  <c:v>0.073454</c:v>
                </c:pt>
                <c:pt idx="672">
                  <c:v>0.073443</c:v>
                </c:pt>
                <c:pt idx="673">
                  <c:v>0.072864</c:v>
                </c:pt>
                <c:pt idx="674">
                  <c:v>0.073129</c:v>
                </c:pt>
                <c:pt idx="675">
                  <c:v>0.073057</c:v>
                </c:pt>
                <c:pt idx="676">
                  <c:v>0.072973</c:v>
                </c:pt>
                <c:pt idx="677">
                  <c:v>0.075251</c:v>
                </c:pt>
                <c:pt idx="678">
                  <c:v>0.072894</c:v>
                </c:pt>
                <c:pt idx="679">
                  <c:v>0.074015</c:v>
                </c:pt>
                <c:pt idx="680">
                  <c:v>0.073541</c:v>
                </c:pt>
                <c:pt idx="681">
                  <c:v>0.073972</c:v>
                </c:pt>
                <c:pt idx="682">
                  <c:v>0.073199</c:v>
                </c:pt>
                <c:pt idx="683">
                  <c:v>0.073819</c:v>
                </c:pt>
                <c:pt idx="684">
                  <c:v>0.073535</c:v>
                </c:pt>
                <c:pt idx="685">
                  <c:v>0.074644</c:v>
                </c:pt>
                <c:pt idx="686">
                  <c:v>0.073742</c:v>
                </c:pt>
                <c:pt idx="687">
                  <c:v>0.072756</c:v>
                </c:pt>
                <c:pt idx="688">
                  <c:v>0.074832</c:v>
                </c:pt>
                <c:pt idx="689">
                  <c:v>0.072897</c:v>
                </c:pt>
                <c:pt idx="690">
                  <c:v>0.073334</c:v>
                </c:pt>
                <c:pt idx="691">
                  <c:v>0.073623</c:v>
                </c:pt>
                <c:pt idx="692">
                  <c:v>0.073618</c:v>
                </c:pt>
                <c:pt idx="693">
                  <c:v>0.072924</c:v>
                </c:pt>
                <c:pt idx="694">
                  <c:v>0.074193</c:v>
                </c:pt>
                <c:pt idx="695">
                  <c:v>0.07262</c:v>
                </c:pt>
                <c:pt idx="696">
                  <c:v>0.072913</c:v>
                </c:pt>
                <c:pt idx="697">
                  <c:v>0.074065</c:v>
                </c:pt>
                <c:pt idx="698">
                  <c:v>0.073208</c:v>
                </c:pt>
                <c:pt idx="699">
                  <c:v>0.074557</c:v>
                </c:pt>
                <c:pt idx="700">
                  <c:v>0.073334</c:v>
                </c:pt>
                <c:pt idx="701">
                  <c:v>0.073649</c:v>
                </c:pt>
                <c:pt idx="702">
                  <c:v>0.072967</c:v>
                </c:pt>
                <c:pt idx="703">
                  <c:v>0.073747</c:v>
                </c:pt>
                <c:pt idx="704">
                  <c:v>0.073789</c:v>
                </c:pt>
                <c:pt idx="705">
                  <c:v>0.072842</c:v>
                </c:pt>
                <c:pt idx="706">
                  <c:v>0.073256</c:v>
                </c:pt>
                <c:pt idx="707">
                  <c:v>0.072629</c:v>
                </c:pt>
                <c:pt idx="708">
                  <c:v>0.073047</c:v>
                </c:pt>
                <c:pt idx="709">
                  <c:v>0.072774</c:v>
                </c:pt>
                <c:pt idx="710">
                  <c:v>0.072898</c:v>
                </c:pt>
                <c:pt idx="711">
                  <c:v>0.071933</c:v>
                </c:pt>
                <c:pt idx="712">
                  <c:v>0.072119</c:v>
                </c:pt>
                <c:pt idx="713">
                  <c:v>0.072837</c:v>
                </c:pt>
                <c:pt idx="714">
                  <c:v>0.073066</c:v>
                </c:pt>
                <c:pt idx="715">
                  <c:v>0.07259</c:v>
                </c:pt>
                <c:pt idx="716">
                  <c:v>0.07251</c:v>
                </c:pt>
                <c:pt idx="717">
                  <c:v>0.072655</c:v>
                </c:pt>
                <c:pt idx="718">
                  <c:v>0.073407</c:v>
                </c:pt>
                <c:pt idx="719">
                  <c:v>0.072557</c:v>
                </c:pt>
                <c:pt idx="720">
                  <c:v>0.072803</c:v>
                </c:pt>
                <c:pt idx="721">
                  <c:v>0.072945</c:v>
                </c:pt>
                <c:pt idx="722">
                  <c:v>0.072942</c:v>
                </c:pt>
                <c:pt idx="723">
                  <c:v>0.072668</c:v>
                </c:pt>
                <c:pt idx="724">
                  <c:v>0.07226</c:v>
                </c:pt>
                <c:pt idx="725">
                  <c:v>0.072591</c:v>
                </c:pt>
                <c:pt idx="726">
                  <c:v>0.072669</c:v>
                </c:pt>
                <c:pt idx="727">
                  <c:v>0.072549</c:v>
                </c:pt>
                <c:pt idx="728">
                  <c:v>0.073392</c:v>
                </c:pt>
                <c:pt idx="729">
                  <c:v>0.072531</c:v>
                </c:pt>
                <c:pt idx="730">
                  <c:v>0.073244</c:v>
                </c:pt>
                <c:pt idx="731">
                  <c:v>0.072623</c:v>
                </c:pt>
                <c:pt idx="732">
                  <c:v>0.07288</c:v>
                </c:pt>
                <c:pt idx="733">
                  <c:v>0.072544</c:v>
                </c:pt>
                <c:pt idx="734">
                  <c:v>0.07215</c:v>
                </c:pt>
                <c:pt idx="735">
                  <c:v>0.072208</c:v>
                </c:pt>
                <c:pt idx="736">
                  <c:v>0.072304</c:v>
                </c:pt>
                <c:pt idx="737">
                  <c:v>0.075074</c:v>
                </c:pt>
                <c:pt idx="738">
                  <c:v>0.072505</c:v>
                </c:pt>
                <c:pt idx="739">
                  <c:v>0.072874</c:v>
                </c:pt>
                <c:pt idx="740">
                  <c:v>0.072735</c:v>
                </c:pt>
                <c:pt idx="741">
                  <c:v>0.07288</c:v>
                </c:pt>
                <c:pt idx="742">
                  <c:v>0.072263</c:v>
                </c:pt>
                <c:pt idx="743">
                  <c:v>0.072414</c:v>
                </c:pt>
                <c:pt idx="744">
                  <c:v>0.072644</c:v>
                </c:pt>
                <c:pt idx="745">
                  <c:v>0.071942</c:v>
                </c:pt>
                <c:pt idx="746">
                  <c:v>0.073399</c:v>
                </c:pt>
                <c:pt idx="747">
                  <c:v>0.072102</c:v>
                </c:pt>
                <c:pt idx="748">
                  <c:v>0.072735</c:v>
                </c:pt>
                <c:pt idx="749">
                  <c:v>0.072484</c:v>
                </c:pt>
                <c:pt idx="750">
                  <c:v>0.072491</c:v>
                </c:pt>
                <c:pt idx="751">
                  <c:v>0.072233</c:v>
                </c:pt>
                <c:pt idx="752">
                  <c:v>0.072463</c:v>
                </c:pt>
                <c:pt idx="753">
                  <c:v>0.072388</c:v>
                </c:pt>
                <c:pt idx="754">
                  <c:v>0.072154</c:v>
                </c:pt>
                <c:pt idx="755">
                  <c:v>0.071976</c:v>
                </c:pt>
                <c:pt idx="756">
                  <c:v>0.071885</c:v>
                </c:pt>
                <c:pt idx="757">
                  <c:v>0.07243</c:v>
                </c:pt>
                <c:pt idx="758">
                  <c:v>0.072845</c:v>
                </c:pt>
                <c:pt idx="759">
                  <c:v>0.071707</c:v>
                </c:pt>
                <c:pt idx="760">
                  <c:v>0.072127</c:v>
                </c:pt>
                <c:pt idx="761">
                  <c:v>0.072255</c:v>
                </c:pt>
                <c:pt idx="762">
                  <c:v>0.07221</c:v>
                </c:pt>
                <c:pt idx="763">
                  <c:v>0.072427</c:v>
                </c:pt>
                <c:pt idx="764">
                  <c:v>0.071723</c:v>
                </c:pt>
                <c:pt idx="765">
                  <c:v>0.072115</c:v>
                </c:pt>
                <c:pt idx="766">
                  <c:v>0.072315</c:v>
                </c:pt>
                <c:pt idx="767">
                  <c:v>0.07209</c:v>
                </c:pt>
                <c:pt idx="768">
                  <c:v>0.072527</c:v>
                </c:pt>
                <c:pt idx="769">
                  <c:v>0.072463</c:v>
                </c:pt>
                <c:pt idx="770">
                  <c:v>0.072982</c:v>
                </c:pt>
                <c:pt idx="771">
                  <c:v>0.071967</c:v>
                </c:pt>
                <c:pt idx="772">
                  <c:v>0.07177</c:v>
                </c:pt>
                <c:pt idx="773">
                  <c:v>0.072157</c:v>
                </c:pt>
                <c:pt idx="774">
                  <c:v>0.071948</c:v>
                </c:pt>
                <c:pt idx="775">
                  <c:v>0.072134</c:v>
                </c:pt>
                <c:pt idx="776">
                  <c:v>0.071848</c:v>
                </c:pt>
                <c:pt idx="777">
                  <c:v>0.072247</c:v>
                </c:pt>
                <c:pt idx="778">
                  <c:v>0.072002</c:v>
                </c:pt>
                <c:pt idx="779">
                  <c:v>0.071932</c:v>
                </c:pt>
                <c:pt idx="780">
                  <c:v>0.071798</c:v>
                </c:pt>
                <c:pt idx="781">
                  <c:v>0.072729</c:v>
                </c:pt>
                <c:pt idx="782">
                  <c:v>0.071908</c:v>
                </c:pt>
                <c:pt idx="783">
                  <c:v>0.071876</c:v>
                </c:pt>
                <c:pt idx="784">
                  <c:v>0.072332</c:v>
                </c:pt>
                <c:pt idx="785">
                  <c:v>0.07184</c:v>
                </c:pt>
                <c:pt idx="786">
                  <c:v>0.072019</c:v>
                </c:pt>
                <c:pt idx="787">
                  <c:v>0.072207</c:v>
                </c:pt>
                <c:pt idx="788">
                  <c:v>0.071976</c:v>
                </c:pt>
                <c:pt idx="789">
                  <c:v>0.072223</c:v>
                </c:pt>
                <c:pt idx="790">
                  <c:v>0.071778</c:v>
                </c:pt>
                <c:pt idx="791">
                  <c:v>0.072435</c:v>
                </c:pt>
                <c:pt idx="792">
                  <c:v>0.071827</c:v>
                </c:pt>
                <c:pt idx="793">
                  <c:v>0.072032</c:v>
                </c:pt>
                <c:pt idx="794">
                  <c:v>0.072245</c:v>
                </c:pt>
                <c:pt idx="795">
                  <c:v>0.072145</c:v>
                </c:pt>
                <c:pt idx="796">
                  <c:v>0.072128</c:v>
                </c:pt>
                <c:pt idx="797">
                  <c:v>0.071862</c:v>
                </c:pt>
                <c:pt idx="798">
                  <c:v>0.07186</c:v>
                </c:pt>
                <c:pt idx="799">
                  <c:v>0.071876</c:v>
                </c:pt>
                <c:pt idx="800">
                  <c:v>0.072092</c:v>
                </c:pt>
                <c:pt idx="801">
                  <c:v>0.071822</c:v>
                </c:pt>
                <c:pt idx="802">
                  <c:v>0.071847</c:v>
                </c:pt>
                <c:pt idx="803">
                  <c:v>0.071756</c:v>
                </c:pt>
                <c:pt idx="804">
                  <c:v>0.071916</c:v>
                </c:pt>
                <c:pt idx="805">
                  <c:v>0.071901</c:v>
                </c:pt>
                <c:pt idx="806">
                  <c:v>0.072201</c:v>
                </c:pt>
                <c:pt idx="807">
                  <c:v>0.071904</c:v>
                </c:pt>
                <c:pt idx="808">
                  <c:v>0.072076</c:v>
                </c:pt>
                <c:pt idx="809">
                  <c:v>0.071903</c:v>
                </c:pt>
                <c:pt idx="810">
                  <c:v>0.071783</c:v>
                </c:pt>
                <c:pt idx="811">
                  <c:v>0.071798</c:v>
                </c:pt>
                <c:pt idx="812">
                  <c:v>0.072112</c:v>
                </c:pt>
                <c:pt idx="813">
                  <c:v>0.071854</c:v>
                </c:pt>
                <c:pt idx="814">
                  <c:v>0.071918</c:v>
                </c:pt>
                <c:pt idx="815">
                  <c:v>0.071882</c:v>
                </c:pt>
                <c:pt idx="816">
                  <c:v>0.071778</c:v>
                </c:pt>
                <c:pt idx="817">
                  <c:v>0.072036</c:v>
                </c:pt>
                <c:pt idx="818">
                  <c:v>0.071745</c:v>
                </c:pt>
                <c:pt idx="819">
                  <c:v>0.071934</c:v>
                </c:pt>
                <c:pt idx="820">
                  <c:v>0.071755</c:v>
                </c:pt>
                <c:pt idx="821">
                  <c:v>0.071838</c:v>
                </c:pt>
                <c:pt idx="822">
                  <c:v>0.071938</c:v>
                </c:pt>
                <c:pt idx="823">
                  <c:v>0.0719</c:v>
                </c:pt>
                <c:pt idx="824">
                  <c:v>0.071913</c:v>
                </c:pt>
                <c:pt idx="825">
                  <c:v>0.071736</c:v>
                </c:pt>
                <c:pt idx="826">
                  <c:v>0.071778</c:v>
                </c:pt>
                <c:pt idx="827">
                  <c:v>0.071907</c:v>
                </c:pt>
                <c:pt idx="828">
                  <c:v>0.071881</c:v>
                </c:pt>
                <c:pt idx="829">
                  <c:v>0.071771</c:v>
                </c:pt>
                <c:pt idx="830">
                  <c:v>0.071861</c:v>
                </c:pt>
                <c:pt idx="831">
                  <c:v>0.071813</c:v>
                </c:pt>
                <c:pt idx="832">
                  <c:v>0.071772</c:v>
                </c:pt>
                <c:pt idx="833">
                  <c:v>0.071878</c:v>
                </c:pt>
                <c:pt idx="834">
                  <c:v>0.071977</c:v>
                </c:pt>
                <c:pt idx="835">
                  <c:v>0.071969</c:v>
                </c:pt>
                <c:pt idx="836">
                  <c:v>0.071843</c:v>
                </c:pt>
                <c:pt idx="837">
                  <c:v>0.071742</c:v>
                </c:pt>
                <c:pt idx="838">
                  <c:v>0.071778</c:v>
                </c:pt>
                <c:pt idx="839">
                  <c:v>0.071892</c:v>
                </c:pt>
                <c:pt idx="840">
                  <c:v>0.071811</c:v>
                </c:pt>
                <c:pt idx="841">
                  <c:v>0.071653</c:v>
                </c:pt>
                <c:pt idx="842">
                  <c:v>0.071832</c:v>
                </c:pt>
                <c:pt idx="843">
                  <c:v>0.071788</c:v>
                </c:pt>
                <c:pt idx="844">
                  <c:v>0.071688</c:v>
                </c:pt>
                <c:pt idx="845">
                  <c:v>0.071809</c:v>
                </c:pt>
                <c:pt idx="846">
                  <c:v>0.07189</c:v>
                </c:pt>
                <c:pt idx="847">
                  <c:v>0.071788</c:v>
                </c:pt>
                <c:pt idx="848">
                  <c:v>0.071757</c:v>
                </c:pt>
                <c:pt idx="849">
                  <c:v>0.071808</c:v>
                </c:pt>
                <c:pt idx="850">
                  <c:v>0.071975</c:v>
                </c:pt>
                <c:pt idx="851">
                  <c:v>0.071726</c:v>
                </c:pt>
                <c:pt idx="852">
                  <c:v>0.071841</c:v>
                </c:pt>
                <c:pt idx="853">
                  <c:v>0.071711</c:v>
                </c:pt>
                <c:pt idx="854">
                  <c:v>0.07173</c:v>
                </c:pt>
                <c:pt idx="855">
                  <c:v>0.071767</c:v>
                </c:pt>
                <c:pt idx="856">
                  <c:v>0.071722</c:v>
                </c:pt>
                <c:pt idx="857">
                  <c:v>0.071848</c:v>
                </c:pt>
                <c:pt idx="858">
                  <c:v>0.071726</c:v>
                </c:pt>
                <c:pt idx="859">
                  <c:v>0.071845</c:v>
                </c:pt>
                <c:pt idx="860">
                  <c:v>0.07174</c:v>
                </c:pt>
                <c:pt idx="861">
                  <c:v>0.071773</c:v>
                </c:pt>
                <c:pt idx="862">
                  <c:v>0.071695</c:v>
                </c:pt>
                <c:pt idx="863">
                  <c:v>0.071624</c:v>
                </c:pt>
                <c:pt idx="864">
                  <c:v>0.072024</c:v>
                </c:pt>
                <c:pt idx="865">
                  <c:v>0.071691</c:v>
                </c:pt>
                <c:pt idx="866">
                  <c:v>0.071868</c:v>
                </c:pt>
                <c:pt idx="867">
                  <c:v>0.071812</c:v>
                </c:pt>
                <c:pt idx="868">
                  <c:v>0.071604</c:v>
                </c:pt>
                <c:pt idx="869">
                  <c:v>0.071771</c:v>
                </c:pt>
                <c:pt idx="870">
                  <c:v>0.07175</c:v>
                </c:pt>
                <c:pt idx="871">
                  <c:v>0.071871</c:v>
                </c:pt>
                <c:pt idx="872">
                  <c:v>0.071763</c:v>
                </c:pt>
                <c:pt idx="873">
                  <c:v>0.071774</c:v>
                </c:pt>
                <c:pt idx="874">
                  <c:v>0.07173</c:v>
                </c:pt>
                <c:pt idx="875">
                  <c:v>0.071745</c:v>
                </c:pt>
                <c:pt idx="876">
                  <c:v>0.071726</c:v>
                </c:pt>
                <c:pt idx="877">
                  <c:v>0.071699</c:v>
                </c:pt>
                <c:pt idx="878">
                  <c:v>0.071813</c:v>
                </c:pt>
                <c:pt idx="879">
                  <c:v>0.071805</c:v>
                </c:pt>
                <c:pt idx="880">
                  <c:v>0.071674</c:v>
                </c:pt>
                <c:pt idx="881">
                  <c:v>0.071722</c:v>
                </c:pt>
                <c:pt idx="882">
                  <c:v>0.071774</c:v>
                </c:pt>
                <c:pt idx="883">
                  <c:v>0.071786</c:v>
                </c:pt>
                <c:pt idx="884">
                  <c:v>0.071721</c:v>
                </c:pt>
                <c:pt idx="885">
                  <c:v>0.071712</c:v>
                </c:pt>
                <c:pt idx="886">
                  <c:v>0.071659</c:v>
                </c:pt>
                <c:pt idx="887">
                  <c:v>0.071688</c:v>
                </c:pt>
                <c:pt idx="888">
                  <c:v>0.071825</c:v>
                </c:pt>
                <c:pt idx="889">
                  <c:v>0.07175</c:v>
                </c:pt>
                <c:pt idx="890">
                  <c:v>0.071739</c:v>
                </c:pt>
                <c:pt idx="891">
                  <c:v>0.07179</c:v>
                </c:pt>
                <c:pt idx="892">
                  <c:v>0.071746</c:v>
                </c:pt>
                <c:pt idx="893">
                  <c:v>0.07174</c:v>
                </c:pt>
                <c:pt idx="894">
                  <c:v>0.071691</c:v>
                </c:pt>
                <c:pt idx="895">
                  <c:v>0.071796</c:v>
                </c:pt>
                <c:pt idx="896">
                  <c:v>0.071692</c:v>
                </c:pt>
                <c:pt idx="897">
                  <c:v>0.071789</c:v>
                </c:pt>
                <c:pt idx="898">
                  <c:v>0.071739</c:v>
                </c:pt>
                <c:pt idx="899">
                  <c:v>0.071714</c:v>
                </c:pt>
                <c:pt idx="900">
                  <c:v>0.071765</c:v>
                </c:pt>
                <c:pt idx="901">
                  <c:v>0.071711</c:v>
                </c:pt>
                <c:pt idx="902">
                  <c:v>0.071751</c:v>
                </c:pt>
                <c:pt idx="903">
                  <c:v>0.07172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04272288"/>
        <c:axId val="1204270848"/>
      </c:lineChart>
      <c:catAx>
        <c:axId val="12042722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04270848"/>
        <c:crosses val="autoZero"/>
        <c:auto val="1"/>
        <c:lblAlgn val="ctr"/>
        <c:lblOffset val="100"/>
        <c:noMultiLvlLbl val="0"/>
      </c:catAx>
      <c:valAx>
        <c:axId val="1204270848"/>
        <c:scaling>
          <c:orientation val="minMax"/>
          <c:max val="0.08"/>
          <c:min val="0.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0427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857a7bd-d46b-424e-b2af-4f399081b78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Introduction!$A$29:$A$31</c:f>
              <c:strCache>
                <c:ptCount val="3"/>
                <c:pt idx="0">
                  <c:v>SchNet</c:v>
                </c:pt>
                <c:pt idx="1">
                  <c:v>EGNN</c:v>
                </c:pt>
                <c:pt idx="2">
                  <c:v>Equiformer</c:v>
                </c:pt>
              </c:strCache>
            </c:strRef>
          </c:cat>
          <c:val>
            <c:numRef>
              <c:f>Introduction!$B$29:$B$31</c:f>
              <c:numCache>
                <c:formatCode>General</c:formatCode>
                <c:ptCount val="3"/>
                <c:pt idx="0">
                  <c:v>13.9795966666667</c:v>
                </c:pt>
                <c:pt idx="1">
                  <c:v>12.3824786666667</c:v>
                </c:pt>
                <c:pt idx="2">
                  <c:v>14.35633125</c:v>
                </c:pt>
              </c:numCache>
            </c:numRef>
          </c:val>
        </c:ser>
        <c:ser>
          <c:idx val="1"/>
          <c:order val="1"/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delete val="1"/>
          </c:dLbls>
          <c:cat>
            <c:strRef>
              <c:f>Introduction!$A$29:$A$31</c:f>
              <c:strCache>
                <c:ptCount val="3"/>
                <c:pt idx="0">
                  <c:v>SchNet</c:v>
                </c:pt>
                <c:pt idx="1">
                  <c:v>EGNN</c:v>
                </c:pt>
                <c:pt idx="2">
                  <c:v>Equiformer</c:v>
                </c:pt>
              </c:strCache>
            </c:strRef>
          </c:cat>
          <c:val>
            <c:numRef>
              <c:f>Introduction!$C$29:$C$31</c:f>
              <c:numCache>
                <c:formatCode>General</c:formatCode>
                <c:ptCount val="3"/>
                <c:pt idx="0">
                  <c:v>13.7549721666667</c:v>
                </c:pt>
                <c:pt idx="1">
                  <c:v>11.8560869166667</c:v>
                </c:pt>
                <c:pt idx="2">
                  <c:v>13.2550406666667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2423320"/>
        <c:axId val="1462420800"/>
      </c:barChart>
      <c:catAx>
        <c:axId val="1462423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1462420800"/>
        <c:crosses val="autoZero"/>
        <c:auto val="1"/>
        <c:lblAlgn val="ctr"/>
        <c:lblOffset val="100"/>
        <c:noMultiLvlLbl val="0"/>
      </c:catAx>
      <c:valAx>
        <c:axId val="1462420800"/>
        <c:scaling>
          <c:orientation val="minMax"/>
          <c:min val="1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1462423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b71fe03-f5c2-41ff-9a03-738ee1515c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ysClr val="windowText" lastClr="000000"/>
          </a:solidFill>
          <a:latin typeface="Arial" panose="020B0604020202020204" pitchFamily="7" charset="0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Introduction!$D$3</c:f>
              <c:strCache>
                <c:ptCount val="1"/>
                <c:pt idx="0">
                  <c:v>w/o EDG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Introduction!$C$4:$C$6</c:f>
              <c:strCache>
                <c:ptCount val="3"/>
                <c:pt idx="0">
                  <c:v>SchNet</c:v>
                </c:pt>
                <c:pt idx="1">
                  <c:v>SphereNet</c:v>
                </c:pt>
                <c:pt idx="2">
                  <c:v>ViSNet</c:v>
                </c:pt>
              </c:strCache>
            </c:strRef>
          </c:cat>
          <c:val>
            <c:numRef>
              <c:f>Introduction!$D$4:$D$6</c:f>
              <c:numCache>
                <c:formatCode>General</c:formatCode>
                <c:ptCount val="3"/>
                <c:pt idx="0">
                  <c:v>0.2502985</c:v>
                </c:pt>
                <c:pt idx="1">
                  <c:v>0.0782267</c:v>
                </c:pt>
                <c:pt idx="2">
                  <c:v>0.0189774</c:v>
                </c:pt>
              </c:numCache>
            </c:numRef>
          </c:val>
        </c:ser>
        <c:ser>
          <c:idx val="1"/>
          <c:order val="1"/>
          <c:tx>
            <c:strRef>
              <c:f>Introduction!$E$3</c:f>
              <c:strCache>
                <c:ptCount val="1"/>
                <c:pt idx="0">
                  <c:v>w/ EDG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</c:dPt>
          <c:dLbls>
            <c:delete val="1"/>
          </c:dLbls>
          <c:cat>
            <c:strRef>
              <c:f>Introduction!$C$4:$C$6</c:f>
              <c:strCache>
                <c:ptCount val="3"/>
                <c:pt idx="0">
                  <c:v>SchNet</c:v>
                </c:pt>
                <c:pt idx="1">
                  <c:v>SphereNet</c:v>
                </c:pt>
                <c:pt idx="2">
                  <c:v>ViSNet</c:v>
                </c:pt>
              </c:strCache>
            </c:strRef>
          </c:cat>
          <c:val>
            <c:numRef>
              <c:f>Introduction!$E$4:$E$6</c:f>
              <c:numCache>
                <c:formatCode>General</c:formatCode>
                <c:ptCount val="3"/>
                <c:pt idx="0">
                  <c:v>0.1554687</c:v>
                </c:pt>
                <c:pt idx="1">
                  <c:v>0.0584079</c:v>
                </c:pt>
                <c:pt idx="2">
                  <c:v>0.0163625</c:v>
                </c:pt>
              </c:numCache>
            </c:numRef>
          </c:val>
        </c:ser>
        <c:ser>
          <c:idx val="2"/>
          <c:order val="2"/>
          <c:tx>
            <c:strRef>
              <c:f>Introduction!$F$3</c:f>
              <c:strCache>
                <c:ptCount val="1"/>
                <c:pt idx="0">
                  <c:v>w/ EDG++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Lbls>
            <c:delete val="1"/>
          </c:dLbls>
          <c:cat>
            <c:strRef>
              <c:f>Introduction!$C$4:$C$6</c:f>
              <c:strCache>
                <c:ptCount val="3"/>
                <c:pt idx="0">
                  <c:v>SchNet</c:v>
                </c:pt>
                <c:pt idx="1">
                  <c:v>SphereNet</c:v>
                </c:pt>
                <c:pt idx="2">
                  <c:v>ViSNet</c:v>
                </c:pt>
              </c:strCache>
            </c:strRef>
          </c:cat>
          <c:val>
            <c:numRef>
              <c:f>Introduction!$F$4:$F$6</c:f>
              <c:numCache>
                <c:formatCode>General</c:formatCode>
                <c:ptCount val="3"/>
                <c:pt idx="1">
                  <c:v>0.055551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9249264"/>
        <c:axId val="1269251064"/>
      </c:barChart>
      <c:catAx>
        <c:axId val="1269249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1269251064"/>
        <c:crosses val="autoZero"/>
        <c:auto val="1"/>
        <c:lblAlgn val="ctr"/>
        <c:lblOffset val="100"/>
        <c:noMultiLvlLbl val="0"/>
      </c:catAx>
      <c:valAx>
        <c:axId val="1269251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126924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ysClr val="windowText" lastClr="000000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a5e1353-fb53-42a7-a45a-c070ccb0687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800">
          <a:solidFill>
            <a:sysClr val="windowText" lastClr="000000"/>
          </a:solidFill>
          <a:latin typeface="Arial" panose="020B0604020202020204" pitchFamily="7" charset="0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922306</xdr:colOff>
      <xdr:row>42</xdr:row>
      <xdr:rowOff>137001</xdr:rowOff>
    </xdr:from>
    <xdr:ext cx="65" cy="178577"/>
    <xdr:sp>
      <xdr:nvSpPr>
        <xdr:cNvPr id="4" name="文本框 3"/>
        <xdr:cNvSpPr txBox="1"/>
      </xdr:nvSpPr>
      <xdr:spPr>
        <a:xfrm>
          <a:off x="10729595" y="8051800"/>
          <a:ext cx="0" cy="1784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twoCellAnchor editAs="oneCell">
    <xdr:from>
      <xdr:col>1</xdr:col>
      <xdr:colOff>71120</xdr:colOff>
      <xdr:row>47</xdr:row>
      <xdr:rowOff>127000</xdr:rowOff>
    </xdr:from>
    <xdr:to>
      <xdr:col>12</xdr:col>
      <xdr:colOff>519003</xdr:colOff>
      <xdr:row>56</xdr:row>
      <xdr:rowOff>98236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9770" y="8931275"/>
          <a:ext cx="12404090" cy="1570990"/>
        </a:xfrm>
        <a:prstGeom prst="rect">
          <a:avLst/>
        </a:prstGeom>
      </xdr:spPr>
    </xdr:pic>
    <xdr:clientData/>
  </xdr:twoCellAnchor>
  <xdr:twoCellAnchor editAs="oneCell">
    <xdr:from>
      <xdr:col>7</xdr:col>
      <xdr:colOff>685800</xdr:colOff>
      <xdr:row>32</xdr:row>
      <xdr:rowOff>130175</xdr:rowOff>
    </xdr:from>
    <xdr:to>
      <xdr:col>16</xdr:col>
      <xdr:colOff>176529</xdr:colOff>
      <xdr:row>58</xdr:row>
      <xdr:rowOff>19105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641715" y="6267450"/>
          <a:ext cx="7263130" cy="4511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57150</xdr:colOff>
      <xdr:row>43</xdr:row>
      <xdr:rowOff>28487</xdr:rowOff>
    </xdr:from>
    <xdr:to>
      <xdr:col>8</xdr:col>
      <xdr:colOff>0</xdr:colOff>
      <xdr:row>69</xdr:row>
      <xdr:rowOff>94369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4450" y="7673340"/>
          <a:ext cx="7085330" cy="4688840"/>
        </a:xfrm>
        <a:prstGeom prst="rect">
          <a:avLst/>
        </a:prstGeom>
      </xdr:spPr>
    </xdr:pic>
    <xdr:clientData/>
  </xdr:twoCellAnchor>
  <xdr:twoCellAnchor editAs="oneCell">
    <xdr:from>
      <xdr:col>1</xdr:col>
      <xdr:colOff>485775</xdr:colOff>
      <xdr:row>0</xdr:row>
      <xdr:rowOff>76200</xdr:rowOff>
    </xdr:from>
    <xdr:to>
      <xdr:col>8</xdr:col>
      <xdr:colOff>180975</xdr:colOff>
      <xdr:row>3</xdr:row>
      <xdr:rowOff>31860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14425" y="76200"/>
          <a:ext cx="7466330" cy="488950"/>
        </a:xfrm>
        <a:prstGeom prst="rect">
          <a:avLst/>
        </a:prstGeom>
      </xdr:spPr>
    </xdr:pic>
    <xdr:clientData/>
  </xdr:twoCellAnchor>
  <xdr:twoCellAnchor editAs="oneCell">
    <xdr:from>
      <xdr:col>8</xdr:col>
      <xdr:colOff>209550</xdr:colOff>
      <xdr:row>46</xdr:row>
      <xdr:rowOff>97944</xdr:rowOff>
    </xdr:from>
    <xdr:to>
      <xdr:col>19</xdr:col>
      <xdr:colOff>55164</xdr:colOff>
      <xdr:row>69</xdr:row>
      <xdr:rowOff>103898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609330" y="8276590"/>
          <a:ext cx="8646160" cy="40951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190500</xdr:colOff>
      <xdr:row>20</xdr:row>
      <xdr:rowOff>161925</xdr:rowOff>
    </xdr:from>
    <xdr:to>
      <xdr:col>24</xdr:col>
      <xdr:colOff>600075</xdr:colOff>
      <xdr:row>50</xdr:row>
      <xdr:rowOff>128587</xdr:rowOff>
    </xdr:to>
    <xdr:graphicFrame>
      <xdr:nvGraphicFramePr>
        <xdr:cNvPr id="4" name="图表 3"/>
        <xdr:cNvGraphicFramePr/>
      </xdr:nvGraphicFramePr>
      <xdr:xfrm>
        <a:off x="819150" y="3717925"/>
        <a:ext cx="14868525" cy="5300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106045</xdr:colOff>
      <xdr:row>21</xdr:row>
      <xdr:rowOff>134620</xdr:rowOff>
    </xdr:from>
    <xdr:to>
      <xdr:col>14</xdr:col>
      <xdr:colOff>539433</xdr:colOff>
      <xdr:row>37</xdr:row>
      <xdr:rowOff>134620</xdr:rowOff>
    </xdr:to>
    <xdr:graphicFrame>
      <xdr:nvGraphicFramePr>
        <xdr:cNvPr id="2" name="图表 1"/>
        <xdr:cNvGraphicFramePr/>
      </xdr:nvGraphicFramePr>
      <xdr:xfrm>
        <a:off x="7941945" y="3868420"/>
        <a:ext cx="2947670" cy="284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47625</xdr:colOff>
      <xdr:row>2</xdr:row>
      <xdr:rowOff>119062</xdr:rowOff>
    </xdr:from>
    <xdr:to>
      <xdr:col>16</xdr:col>
      <xdr:colOff>552450</xdr:colOff>
      <xdr:row>18</xdr:row>
      <xdr:rowOff>119062</xdr:rowOff>
    </xdr:to>
    <xdr:graphicFrame>
      <xdr:nvGraphicFramePr>
        <xdr:cNvPr id="4" name="图表 3"/>
        <xdr:cNvGraphicFramePr/>
      </xdr:nvGraphicFramePr>
      <xdr:xfrm>
        <a:off x="8512175" y="474345"/>
        <a:ext cx="3683000" cy="284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15"/>
  <sheetViews>
    <sheetView workbookViewId="0">
      <selection activeCell="E9" sqref="E9"/>
    </sheetView>
  </sheetViews>
  <sheetFormatPr defaultColWidth="9" defaultRowHeight="14" outlineLevelCol="7"/>
  <cols>
    <col min="1" max="2" width="9" style="5"/>
    <col min="3" max="3" width="15.7545454545455" style="5" customWidth="1"/>
    <col min="4" max="4" width="27.1272727272727" style="5" customWidth="1"/>
    <col min="5" max="5" width="15.7545454545455" style="5" customWidth="1"/>
    <col min="6" max="6" width="32.2545454545455" style="5" customWidth="1"/>
    <col min="7" max="8" width="15.7545454545455" style="5" customWidth="1"/>
    <col min="9" max="16384" width="9" style="5"/>
  </cols>
  <sheetData>
    <row r="3" spans="3:8">
      <c r="C3" s="50" t="s">
        <v>0</v>
      </c>
      <c r="D3" s="50"/>
      <c r="E3" s="50"/>
      <c r="F3" s="50"/>
      <c r="G3" s="50"/>
      <c r="H3" s="50"/>
    </row>
    <row r="4" spans="3:8">
      <c r="C4" s="51" t="s">
        <v>1</v>
      </c>
      <c r="D4" s="51" t="s">
        <v>2</v>
      </c>
      <c r="E4" s="51" t="s">
        <v>3</v>
      </c>
      <c r="F4" s="51" t="s">
        <v>4</v>
      </c>
    </row>
    <row r="5" spans="3:8">
      <c r="C5" s="52">
        <v>0.05</v>
      </c>
      <c r="D5" s="53">
        <v>941768</v>
      </c>
      <c r="E5" s="53">
        <v>73243170</v>
      </c>
      <c r="F5" s="52">
        <v>130</v>
      </c>
    </row>
    <row r="6" spans="3:8">
      <c r="C6" s="5">
        <v>0.1</v>
      </c>
      <c r="D6" s="54">
        <v>118809</v>
      </c>
      <c r="E6" s="54">
        <v>9239840</v>
      </c>
      <c r="F6" s="5">
        <v>130</v>
      </c>
    </row>
    <row r="7" spans="3:8">
      <c r="C7" s="5">
        <v>0.2</v>
      </c>
      <c r="D7" s="54">
        <v>15222</v>
      </c>
      <c r="E7" s="54">
        <v>1183680</v>
      </c>
      <c r="F7" s="5">
        <v>130</v>
      </c>
    </row>
    <row r="8" spans="3:8">
      <c r="C8" s="5">
        <v>0.3</v>
      </c>
      <c r="D8" s="54">
        <v>4666</v>
      </c>
      <c r="E8" s="54">
        <v>362664</v>
      </c>
      <c r="F8" s="5">
        <v>130</v>
      </c>
    </row>
    <row r="9" spans="3:8">
      <c r="C9" s="5">
        <v>0.4</v>
      </c>
      <c r="D9" s="54">
        <v>2003</v>
      </c>
      <c r="E9" s="54">
        <v>155595</v>
      </c>
      <c r="F9" s="5">
        <v>132</v>
      </c>
    </row>
    <row r="10" spans="3:8">
      <c r="C10" s="5">
        <v>0.5</v>
      </c>
      <c r="D10" s="54">
        <v>1048</v>
      </c>
      <c r="E10" s="54">
        <v>81312</v>
      </c>
      <c r="F10" s="5">
        <v>131</v>
      </c>
    </row>
    <row r="11" spans="3:8">
      <c r="C11" s="5">
        <v>0.6</v>
      </c>
      <c r="D11" s="5">
        <v>628</v>
      </c>
      <c r="E11" s="54">
        <v>48692</v>
      </c>
      <c r="F11" s="5">
        <v>130</v>
      </c>
    </row>
    <row r="12" spans="3:8">
      <c r="C12" s="5">
        <v>0.7</v>
      </c>
      <c r="D12" s="5">
        <v>397</v>
      </c>
      <c r="E12" s="54">
        <v>30720</v>
      </c>
      <c r="F12" s="5">
        <v>132</v>
      </c>
    </row>
    <row r="13" spans="3:8">
      <c r="C13" s="5">
        <v>0.8</v>
      </c>
      <c r="D13" s="5">
        <v>267</v>
      </c>
      <c r="E13" s="54">
        <v>20580</v>
      </c>
      <c r="F13" s="5">
        <v>132</v>
      </c>
    </row>
    <row r="14" spans="3:8">
      <c r="C14" s="5">
        <v>0.9</v>
      </c>
      <c r="D14" s="5">
        <v>198</v>
      </c>
      <c r="E14" s="54">
        <v>15200</v>
      </c>
      <c r="F14" s="5">
        <v>128</v>
      </c>
    </row>
    <row r="15" spans="3:8">
      <c r="C15" s="55">
        <v>1</v>
      </c>
      <c r="D15" s="55">
        <v>148</v>
      </c>
      <c r="E15" s="56">
        <v>11339</v>
      </c>
      <c r="F15" s="55">
        <v>127</v>
      </c>
    </row>
  </sheetData>
  <mergeCells count="1">
    <mergeCell ref="C3:H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C32"/>
  <sheetViews>
    <sheetView tabSelected="1" workbookViewId="0">
      <selection activeCell="B27" sqref="B5:N6 B12:N13 B20:N21 B27:N28"/>
    </sheetView>
  </sheetViews>
  <sheetFormatPr defaultColWidth="9" defaultRowHeight="14"/>
  <cols>
    <col min="2" max="2" width="38.6272727272727" customWidth="1"/>
    <col min="3" max="14" width="13.2545454545455" customWidth="1"/>
    <col min="16" max="16" width="9.5" customWidth="1"/>
    <col min="17" max="17" width="10.5" customWidth="1"/>
  </cols>
  <sheetData>
    <row r="2" spans="1:29">
      <c r="C2" s="3" t="s">
        <v>5</v>
      </c>
      <c r="D2" s="1" t="s">
        <v>6</v>
      </c>
      <c r="E2" s="1" t="s">
        <v>7</v>
      </c>
      <c r="F2" s="1" t="s">
        <v>8</v>
      </c>
      <c r="G2" s="3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3" t="s">
        <v>15</v>
      </c>
      <c r="N2" s="1" t="s">
        <v>16</v>
      </c>
    </row>
    <row r="3" ht="48.75" customHeight="1" spans="1:29">
      <c r="B3" s="28" t="s">
        <v>17</v>
      </c>
      <c r="C3" s="29" t="s">
        <v>18</v>
      </c>
      <c r="D3" s="30" t="s">
        <v>19</v>
      </c>
      <c r="E3" s="31" t="s">
        <v>20</v>
      </c>
      <c r="F3" s="31" t="s">
        <v>21</v>
      </c>
      <c r="G3" s="29" t="s">
        <v>22</v>
      </c>
      <c r="H3" s="31" t="s">
        <v>23</v>
      </c>
      <c r="I3" s="31" t="s">
        <v>24</v>
      </c>
      <c r="J3" s="31" t="s">
        <v>25</v>
      </c>
      <c r="K3" s="31" t="s">
        <v>26</v>
      </c>
      <c r="L3" s="31" t="s">
        <v>27</v>
      </c>
      <c r="M3" s="31" t="s">
        <v>28</v>
      </c>
      <c r="N3" s="31" t="s">
        <v>29</v>
      </c>
      <c r="P3" s="2" t="s">
        <v>30</v>
      </c>
    </row>
    <row r="4" ht="14.5" spans="1:29">
      <c r="B4" s="28"/>
      <c r="C4" s="32"/>
      <c r="D4" s="33" t="s">
        <v>31</v>
      </c>
      <c r="E4" s="33" t="s">
        <v>31</v>
      </c>
      <c r="F4" s="33" t="s">
        <v>31</v>
      </c>
      <c r="G4" s="31" t="s">
        <v>32</v>
      </c>
      <c r="H4" s="30"/>
      <c r="I4" s="33" t="s">
        <v>31</v>
      </c>
      <c r="J4" s="33" t="s">
        <v>31</v>
      </c>
      <c r="K4" s="34"/>
      <c r="L4" s="33" t="s">
        <v>31</v>
      </c>
      <c r="M4" s="33" t="s">
        <v>31</v>
      </c>
      <c r="N4" s="33" t="s">
        <v>31</v>
      </c>
      <c r="O4" s="35" t="s">
        <v>33</v>
      </c>
      <c r="P4" s="36" t="s">
        <v>34</v>
      </c>
      <c r="R4" s="2" t="s">
        <v>35</v>
      </c>
    </row>
    <row r="5" spans="1:29">
      <c r="A5" s="37" t="s">
        <v>36</v>
      </c>
      <c r="B5" s="4" t="s">
        <v>37</v>
      </c>
      <c r="C5" s="38">
        <v>0.070206</v>
      </c>
      <c r="D5" s="39">
        <f>0.050829*1000</f>
        <v>50.829</v>
      </c>
      <c r="E5" s="39">
        <f>0.031952*1000</f>
        <v>31.952</v>
      </c>
      <c r="F5" s="39">
        <f>0.026168*1000</f>
        <v>26.168</v>
      </c>
      <c r="G5" s="38">
        <v>0.030133</v>
      </c>
      <c r="H5" s="38">
        <v>0.032275</v>
      </c>
      <c r="I5" s="39">
        <f>0.014678*1000</f>
        <v>14.678</v>
      </c>
      <c r="J5" s="39">
        <f>0.01409*1000</f>
        <v>14.09</v>
      </c>
      <c r="K5" s="38">
        <v>0.134546</v>
      </c>
      <c r="L5" s="39">
        <f>0.014142*1000</f>
        <v>14.142</v>
      </c>
      <c r="M5" s="39">
        <v>13.915</v>
      </c>
      <c r="N5" s="39">
        <f>0.001714*1000</f>
        <v>1.714</v>
      </c>
      <c r="P5" s="3">
        <v>2018</v>
      </c>
      <c r="R5" s="38">
        <v>0.070206</v>
      </c>
      <c r="S5" s="39">
        <f>0.050829*1000</f>
        <v>50.829</v>
      </c>
      <c r="T5" s="39">
        <f>0.031952*1000</f>
        <v>31.952</v>
      </c>
      <c r="U5" s="39">
        <f>0.026168*1000</f>
        <v>26.168</v>
      </c>
      <c r="V5" s="38">
        <v>0.030133</v>
      </c>
      <c r="W5" s="38">
        <v>0.032275</v>
      </c>
      <c r="X5" s="39">
        <f>0.014678*1000</f>
        <v>14.678</v>
      </c>
      <c r="Y5" s="39">
        <f>0.01409*1000</f>
        <v>14.09</v>
      </c>
      <c r="Z5" s="38">
        <v>0.134546</v>
      </c>
      <c r="AA5" s="39">
        <f>0.014142*1000</f>
        <v>14.142</v>
      </c>
      <c r="AB5" s="39">
        <f>0.013629*1000</f>
        <v>13.629</v>
      </c>
      <c r="AC5" s="39">
        <f>0.001714*1000</f>
        <v>1.714</v>
      </c>
    </row>
    <row r="6" spans="1:29">
      <c r="A6" s="3"/>
      <c r="B6" s="40" t="s">
        <v>38</v>
      </c>
      <c r="C6" s="41">
        <v>0.068662</v>
      </c>
      <c r="D6" s="42">
        <v>49.778</v>
      </c>
      <c r="E6" s="42">
        <v>31.884</v>
      </c>
      <c r="F6" s="42">
        <v>25.9719999999999</v>
      </c>
      <c r="G6" s="41">
        <v>0.029798</v>
      </c>
      <c r="H6" s="41">
        <v>0.031623</v>
      </c>
      <c r="I6" s="42">
        <v>14.022</v>
      </c>
      <c r="J6" s="42">
        <v>13.841</v>
      </c>
      <c r="K6" s="41">
        <v>0.124583</v>
      </c>
      <c r="L6" s="42">
        <v>13.794</v>
      </c>
      <c r="M6" s="42">
        <v>13.826</v>
      </c>
      <c r="N6" s="42">
        <v>1.688</v>
      </c>
      <c r="P6" s="3"/>
      <c r="R6" s="41">
        <v>0.068063</v>
      </c>
      <c r="S6" s="42">
        <v>49.755</v>
      </c>
      <c r="T6" s="42">
        <v>31.694</v>
      </c>
      <c r="U6" s="42">
        <v>26.083</v>
      </c>
      <c r="V6" s="41">
        <v>0.029803</v>
      </c>
      <c r="W6" s="41">
        <v>0.03169</v>
      </c>
      <c r="X6" s="42">
        <v>14.086</v>
      </c>
      <c r="Y6" s="42">
        <v>14.013</v>
      </c>
      <c r="Z6" s="41">
        <v>0.122769</v>
      </c>
      <c r="AA6" s="42">
        <v>13.924</v>
      </c>
      <c r="AB6" s="42">
        <v>13.372</v>
      </c>
      <c r="AC6" s="42">
        <v>1.677</v>
      </c>
    </row>
    <row r="7" spans="1:29">
      <c r="A7" s="3"/>
      <c r="B7" s="43" t="s">
        <v>39</v>
      </c>
      <c r="C7" s="17">
        <f>-1*(C6/C5-1)</f>
        <v>0.0219924223000884</v>
      </c>
      <c r="D7" s="17">
        <f t="shared" ref="D7:N7" si="0">-1*(D6/D5-1)</f>
        <v>0.020677172480277</v>
      </c>
      <c r="E7" s="17">
        <f t="shared" si="0"/>
        <v>0.00212819228843264</v>
      </c>
      <c r="F7" s="17">
        <f t="shared" si="0"/>
        <v>0.0074900642005542</v>
      </c>
      <c r="G7" s="17">
        <f t="shared" si="0"/>
        <v>0.0111173796170311</v>
      </c>
      <c r="H7" s="17">
        <f t="shared" si="0"/>
        <v>0.0202013942680093</v>
      </c>
      <c r="I7" s="17">
        <f t="shared" si="0"/>
        <v>0.0446927374301677</v>
      </c>
      <c r="J7" s="17">
        <f t="shared" si="0"/>
        <v>0.0176721078779276</v>
      </c>
      <c r="K7" s="17">
        <f t="shared" si="0"/>
        <v>0.0740490241255779</v>
      </c>
      <c r="L7" s="17">
        <f t="shared" si="0"/>
        <v>0.0246075519728468</v>
      </c>
      <c r="M7" s="17">
        <f t="shared" si="0"/>
        <v>0.00639597556593596</v>
      </c>
      <c r="N7" s="17">
        <f t="shared" si="0"/>
        <v>0.015169194865811</v>
      </c>
      <c r="O7" s="44">
        <f>AVERAGE(C7:N7)</f>
        <v>0.0221827680827216</v>
      </c>
      <c r="P7" s="3"/>
      <c r="R7" s="17">
        <f>-1*(R6/R5-1)</f>
        <v>0.0305244565991512</v>
      </c>
      <c r="S7" s="17">
        <f t="shared" ref="S7:AC7" si="1">-1*(S6/S5-1)</f>
        <v>0.0211296700702355</v>
      </c>
      <c r="T7" s="17">
        <f t="shared" si="1"/>
        <v>0.00807461191787695</v>
      </c>
      <c r="U7" s="17">
        <f t="shared" si="1"/>
        <v>0.00324824212778974</v>
      </c>
      <c r="V7" s="17">
        <f t="shared" si="1"/>
        <v>0.010951448577971</v>
      </c>
      <c r="W7" s="17">
        <f t="shared" si="1"/>
        <v>0.0181254841208364</v>
      </c>
      <c r="X7" s="17">
        <f t="shared" si="1"/>
        <v>0.0403324703638098</v>
      </c>
      <c r="Y7" s="17">
        <f t="shared" si="1"/>
        <v>0.00546486870120655</v>
      </c>
      <c r="Z7" s="17">
        <f t="shared" si="1"/>
        <v>0.087531401899722</v>
      </c>
      <c r="AA7" s="17">
        <f t="shared" si="1"/>
        <v>0.0154150756611512</v>
      </c>
      <c r="AB7" s="17">
        <f t="shared" si="1"/>
        <v>0.0188568493653241</v>
      </c>
      <c r="AC7" s="17">
        <f t="shared" si="1"/>
        <v>0.0215869311551925</v>
      </c>
    </row>
    <row r="8" spans="1:29">
      <c r="A8" s="3"/>
      <c r="B8" s="40" t="s">
        <v>40</v>
      </c>
      <c r="C8" s="41"/>
      <c r="D8" s="42"/>
      <c r="E8" s="42"/>
      <c r="F8" s="42"/>
      <c r="G8" s="41"/>
      <c r="H8" s="41"/>
      <c r="I8" s="42"/>
      <c r="J8" s="42"/>
      <c r="K8" s="41"/>
      <c r="L8" s="42"/>
      <c r="M8" s="42"/>
      <c r="N8" s="42"/>
      <c r="P8" s="3"/>
    </row>
    <row r="9" spans="1:29">
      <c r="A9" s="3"/>
      <c r="B9" s="40" t="s">
        <v>41</v>
      </c>
      <c r="C9" s="41"/>
      <c r="D9" s="42"/>
      <c r="E9" s="42"/>
      <c r="F9" s="42"/>
      <c r="G9" s="41"/>
      <c r="H9" s="41"/>
      <c r="I9" s="42"/>
      <c r="J9" s="42"/>
      <c r="K9" s="41"/>
      <c r="L9" s="42"/>
      <c r="M9" s="42"/>
      <c r="N9" s="42"/>
      <c r="P9" s="3"/>
    </row>
    <row r="10" spans="1:29">
      <c r="A10" s="3"/>
      <c r="B10" s="45" t="s">
        <v>42</v>
      </c>
      <c r="C10" s="46"/>
      <c r="D10" s="47"/>
      <c r="E10" s="47"/>
      <c r="F10" s="47"/>
      <c r="G10" s="46"/>
      <c r="H10" s="46"/>
      <c r="I10" s="47"/>
      <c r="J10" s="47"/>
      <c r="K10" s="46"/>
      <c r="L10" s="47"/>
      <c r="M10" s="47"/>
      <c r="N10" s="47"/>
      <c r="P10" s="3"/>
    </row>
    <row r="11" spans="1:29">
      <c r="A11" s="3"/>
      <c r="C11" s="48"/>
      <c r="D11" s="49"/>
      <c r="E11" s="49"/>
      <c r="F11" s="49"/>
      <c r="G11" s="48"/>
      <c r="H11" s="48"/>
      <c r="I11" s="49"/>
      <c r="J11" s="49"/>
      <c r="K11" s="48"/>
      <c r="L11" s="49"/>
      <c r="M11" s="49"/>
      <c r="N11" s="49"/>
      <c r="P11" s="3"/>
      <c r="R11" s="2" t="s">
        <v>35</v>
      </c>
    </row>
    <row r="12" spans="1:29">
      <c r="A12" s="37" t="s">
        <v>36</v>
      </c>
      <c r="B12" s="4" t="s">
        <v>43</v>
      </c>
      <c r="C12" s="38">
        <v>0.064742</v>
      </c>
      <c r="D12" s="39">
        <v>49.493</v>
      </c>
      <c r="E12" s="39">
        <v>29.865</v>
      </c>
      <c r="F12" s="39">
        <v>24.696</v>
      </c>
      <c r="G12" s="38">
        <v>0.029806</v>
      </c>
      <c r="H12" s="38">
        <v>0.031252</v>
      </c>
      <c r="I12" s="39">
        <v>11.057</v>
      </c>
      <c r="J12" s="39">
        <v>10.596</v>
      </c>
      <c r="K12" s="38">
        <v>0.074944</v>
      </c>
      <c r="L12" s="39">
        <v>11.013</v>
      </c>
      <c r="M12" s="39">
        <v>10.15</v>
      </c>
      <c r="N12" s="39">
        <v>1.519</v>
      </c>
      <c r="P12" s="1" t="s">
        <v>44</v>
      </c>
      <c r="R12" s="38">
        <v>0.064742</v>
      </c>
      <c r="S12" s="39">
        <v>49.493</v>
      </c>
      <c r="T12" s="39">
        <v>29.865</v>
      </c>
      <c r="U12" s="39">
        <v>24.696</v>
      </c>
      <c r="V12" s="38">
        <v>0.029806</v>
      </c>
      <c r="W12" s="38">
        <v>0.031252</v>
      </c>
      <c r="X12" s="39">
        <v>11.057</v>
      </c>
      <c r="Y12" s="39">
        <v>10.596</v>
      </c>
      <c r="Z12" s="38">
        <v>0.074944</v>
      </c>
      <c r="AA12" s="39">
        <v>11.013</v>
      </c>
      <c r="AB12" s="39">
        <v>10.15</v>
      </c>
      <c r="AC12" s="39">
        <v>1.519</v>
      </c>
    </row>
    <row r="13" spans="1:29">
      <c r="A13" s="3"/>
      <c r="B13" s="40" t="s">
        <v>45</v>
      </c>
      <c r="C13" s="41">
        <v>0.06147</v>
      </c>
      <c r="D13" s="42">
        <v>46.979</v>
      </c>
      <c r="E13" s="42">
        <v>28.319</v>
      </c>
      <c r="F13" s="42">
        <v>24.283</v>
      </c>
      <c r="G13" s="41">
        <v>0.026545</v>
      </c>
      <c r="H13" s="41">
        <v>0.030778</v>
      </c>
      <c r="I13" s="42">
        <v>10.708</v>
      </c>
      <c r="J13" s="42">
        <v>10.298</v>
      </c>
      <c r="K13" s="41">
        <v>0.07225</v>
      </c>
      <c r="L13" s="42">
        <v>9.985</v>
      </c>
      <c r="M13" s="42">
        <v>10.012</v>
      </c>
      <c r="N13" s="42">
        <v>1.498</v>
      </c>
      <c r="P13" s="3"/>
      <c r="R13" s="41">
        <v>0.062357</v>
      </c>
      <c r="S13" s="42">
        <v>47.011</v>
      </c>
      <c r="T13" s="42">
        <v>28.424</v>
      </c>
      <c r="U13" s="42">
        <v>24.117</v>
      </c>
      <c r="V13" s="41">
        <v>0.027334</v>
      </c>
      <c r="W13" s="41">
        <v>0.030903</v>
      </c>
      <c r="X13" s="42">
        <v>10.747</v>
      </c>
      <c r="Y13" s="42">
        <v>10.326</v>
      </c>
      <c r="Z13" s="41">
        <v>0.073539</v>
      </c>
      <c r="AA13" s="42">
        <v>9.932</v>
      </c>
      <c r="AB13" s="42">
        <v>9.976</v>
      </c>
      <c r="AC13" s="42">
        <v>1.502</v>
      </c>
    </row>
    <row r="14" spans="1:29">
      <c r="A14" s="3"/>
      <c r="B14" s="43" t="s">
        <v>39</v>
      </c>
      <c r="C14" s="17">
        <f>-1*(C13/C12-1)</f>
        <v>0.0505390627413426</v>
      </c>
      <c r="D14" s="17">
        <f t="shared" ref="D14:J14" si="2">-1*(D13/D12-1)</f>
        <v>0.0507950619279495</v>
      </c>
      <c r="E14" s="17">
        <f t="shared" si="2"/>
        <v>0.0517662816005358</v>
      </c>
      <c r="F14" s="17">
        <f t="shared" si="2"/>
        <v>0.0167233560090703</v>
      </c>
      <c r="G14" s="17">
        <f t="shared" si="2"/>
        <v>0.109407501845266</v>
      </c>
      <c r="H14" s="17">
        <f t="shared" si="2"/>
        <v>0.0151670293101243</v>
      </c>
      <c r="I14" s="17">
        <f t="shared" si="2"/>
        <v>0.0315637152934792</v>
      </c>
      <c r="J14" s="17">
        <f t="shared" si="2"/>
        <v>0.0281238203095507</v>
      </c>
      <c r="K14" s="17">
        <f t="shared" ref="K14:M14" si="3">-1*(K13/K12-1)</f>
        <v>0.0359468403074296</v>
      </c>
      <c r="L14" s="17">
        <f t="shared" si="3"/>
        <v>0.0933442295468991</v>
      </c>
      <c r="M14" s="17">
        <f t="shared" si="3"/>
        <v>0.0135960591133005</v>
      </c>
      <c r="N14" s="17">
        <f t="shared" ref="N14" si="4">-1*(N13/N12-1)</f>
        <v>0.0138248847926267</v>
      </c>
      <c r="O14" s="44">
        <f>AVERAGE(C14:N14)</f>
        <v>0.0425664868997979</v>
      </c>
      <c r="P14" s="3"/>
      <c r="R14" s="17">
        <f>-1*(R13/R12-1)</f>
        <v>0.0368385283123782</v>
      </c>
      <c r="S14" s="17">
        <f t="shared" ref="S14:AC14" si="5">-1*(S13/S12-1)</f>
        <v>0.050148505849312</v>
      </c>
      <c r="T14" s="17">
        <f t="shared" si="5"/>
        <v>0.0482504604051565</v>
      </c>
      <c r="U14" s="17">
        <f t="shared" si="5"/>
        <v>0.0234450923226434</v>
      </c>
      <c r="V14" s="17">
        <f t="shared" si="5"/>
        <v>0.0829363215459974</v>
      </c>
      <c r="W14" s="17">
        <f t="shared" si="5"/>
        <v>0.0111672852937412</v>
      </c>
      <c r="X14" s="17">
        <f t="shared" si="5"/>
        <v>0.0280365379397667</v>
      </c>
      <c r="Y14" s="17">
        <f t="shared" si="5"/>
        <v>0.0254813137032842</v>
      </c>
      <c r="Z14" s="17">
        <f t="shared" si="5"/>
        <v>0.0187473313407345</v>
      </c>
      <c r="AA14" s="17">
        <f t="shared" si="5"/>
        <v>0.0981567238717879</v>
      </c>
      <c r="AB14" s="17">
        <f t="shared" si="5"/>
        <v>0.0171428571428571</v>
      </c>
      <c r="AC14" s="17">
        <f t="shared" si="5"/>
        <v>0.0111915734035549</v>
      </c>
    </row>
    <row r="15" spans="1:29">
      <c r="A15" s="37" t="s">
        <v>46</v>
      </c>
      <c r="B15" s="40" t="s">
        <v>47</v>
      </c>
      <c r="C15" s="41">
        <v>0.061097</v>
      </c>
      <c r="D15" s="42">
        <v>45.921</v>
      </c>
      <c r="E15" s="42">
        <v>27.948</v>
      </c>
      <c r="F15" s="42">
        <v>24.142</v>
      </c>
      <c r="G15" s="41"/>
      <c r="H15" s="41">
        <v>0.03028</v>
      </c>
      <c r="I15" s="42"/>
      <c r="J15" s="42">
        <v>10.162</v>
      </c>
      <c r="K15" s="41">
        <v>0.070899</v>
      </c>
      <c r="L15" s="42"/>
      <c r="M15" s="42">
        <v>9.883</v>
      </c>
      <c r="N15" s="42"/>
      <c r="P15" s="3"/>
    </row>
    <row r="16" spans="1:29">
      <c r="A16" s="3"/>
      <c r="B16" s="43" t="s">
        <v>39</v>
      </c>
      <c r="C16" s="17">
        <f>-1*(C15/C13-1)</f>
        <v>0.00606800065072388</v>
      </c>
      <c r="D16" s="17">
        <f>-1*(D15/D13-1)</f>
        <v>0.0225207007386279</v>
      </c>
      <c r="E16" s="17">
        <f>-1*(E15/E13-1)</f>
        <v>0.0131007450828066</v>
      </c>
      <c r="F16" s="17">
        <f>-1*(F15/F13-1)</f>
        <v>0.00580653131820619</v>
      </c>
      <c r="G16" s="17"/>
      <c r="H16" s="17">
        <f>-1*(H15/H13-1)</f>
        <v>0.016180388589252</v>
      </c>
      <c r="I16" s="17"/>
      <c r="J16" s="17">
        <f>-1*(J15/J13-1)</f>
        <v>0.0132064478539522</v>
      </c>
      <c r="K16" s="17">
        <f>-1*(K15/K13-1)</f>
        <v>0.0186989619377161</v>
      </c>
      <c r="L16" s="17"/>
      <c r="M16" s="17">
        <f>-1*(M15/M13-1)</f>
        <v>0.0128845385537356</v>
      </c>
      <c r="N16" s="17"/>
      <c r="P16" s="3"/>
    </row>
    <row r="17" spans="1:16">
      <c r="A17" s="3"/>
      <c r="B17" s="40" t="s">
        <v>48</v>
      </c>
      <c r="C17" s="41"/>
      <c r="D17" s="42"/>
      <c r="E17" s="42"/>
      <c r="F17" s="42"/>
      <c r="G17" s="41"/>
      <c r="H17" s="41"/>
      <c r="I17" s="42"/>
      <c r="J17" s="42"/>
      <c r="K17" s="41"/>
      <c r="L17" s="42"/>
      <c r="M17" s="42"/>
      <c r="N17" s="42"/>
      <c r="P17" s="3"/>
    </row>
    <row r="18" spans="1:16">
      <c r="A18" s="3"/>
      <c r="B18" s="45" t="s">
        <v>49</v>
      </c>
      <c r="C18" s="46"/>
      <c r="D18" s="47"/>
      <c r="E18" s="47"/>
      <c r="F18" s="47"/>
      <c r="G18" s="46"/>
      <c r="H18" s="46"/>
      <c r="I18" s="47"/>
      <c r="J18" s="47"/>
      <c r="K18" s="46"/>
      <c r="L18" s="47"/>
      <c r="M18" s="47"/>
      <c r="N18" s="47"/>
      <c r="P18" s="3"/>
    </row>
    <row r="19" spans="1:16">
      <c r="A19" s="3"/>
      <c r="C19" s="48"/>
      <c r="G19" s="48"/>
      <c r="H19" s="48"/>
      <c r="K19" s="48"/>
      <c r="P19" s="3"/>
    </row>
    <row r="20" spans="1:16">
      <c r="A20" s="37">
        <v>4090</v>
      </c>
      <c r="B20" s="4" t="s">
        <v>50</v>
      </c>
      <c r="C20" s="38">
        <v>0.067624</v>
      </c>
      <c r="D20" s="39">
        <v>46.308</v>
      </c>
      <c r="E20" s="39">
        <v>26.017</v>
      </c>
      <c r="F20" s="39">
        <v>23.681</v>
      </c>
      <c r="G20" s="38">
        <v>0.020743</v>
      </c>
      <c r="H20" s="38">
        <v>0.02733</v>
      </c>
      <c r="I20" s="39">
        <v>18.439</v>
      </c>
      <c r="J20" s="39">
        <v>16.453</v>
      </c>
      <c r="K20" s="38">
        <v>0.458278</v>
      </c>
      <c r="L20" s="39">
        <v>15.339</v>
      </c>
      <c r="M20" s="39">
        <v>23.928</v>
      </c>
      <c r="N20" s="39">
        <v>1.537</v>
      </c>
      <c r="P20" s="1" t="s">
        <v>51</v>
      </c>
    </row>
    <row r="21" spans="1:16">
      <c r="A21" s="3"/>
      <c r="B21" s="40" t="s">
        <v>52</v>
      </c>
      <c r="C21" s="41">
        <v>0.064757</v>
      </c>
      <c r="D21" s="42">
        <v>45.813</v>
      </c>
      <c r="E21" s="42">
        <v>25.492</v>
      </c>
      <c r="F21" s="42">
        <v>23.266</v>
      </c>
      <c r="G21" s="41">
        <v>0.019845</v>
      </c>
      <c r="H21" s="41">
        <v>0.026418</v>
      </c>
      <c r="I21" s="42">
        <v>15.976</v>
      </c>
      <c r="J21" s="42">
        <v>14.451</v>
      </c>
      <c r="K21" s="41">
        <v>0.439468</v>
      </c>
      <c r="L21" s="42">
        <v>15.466</v>
      </c>
      <c r="M21" s="42">
        <v>16.517</v>
      </c>
      <c r="N21" s="42">
        <v>1.529</v>
      </c>
      <c r="P21" s="3"/>
    </row>
    <row r="22" spans="1:16">
      <c r="A22" s="3"/>
      <c r="B22" s="43" t="s">
        <v>39</v>
      </c>
      <c r="C22" s="17">
        <f t="shared" ref="C22:F22" si="6">-1*(C21/C20-1)</f>
        <v>0.0423961907015262</v>
      </c>
      <c r="D22" s="17">
        <f t="shared" si="6"/>
        <v>0.0106892977455298</v>
      </c>
      <c r="E22" s="17">
        <f t="shared" si="6"/>
        <v>0.0201791136564553</v>
      </c>
      <c r="F22" s="17">
        <f t="shared" si="6"/>
        <v>0.0175245977788101</v>
      </c>
      <c r="G22" s="17">
        <f t="shared" ref="G22:H22" si="7">-1*(G21/G20-1)</f>
        <v>0.0432917128669913</v>
      </c>
      <c r="H22" s="17">
        <f t="shared" si="7"/>
        <v>0.0333699231613611</v>
      </c>
      <c r="I22" s="17">
        <f t="shared" ref="I22:M22" si="8">-1*(I21/I20-1)</f>
        <v>0.133575573512663</v>
      </c>
      <c r="J22" s="17">
        <f t="shared" si="8"/>
        <v>0.121679936789643</v>
      </c>
      <c r="K22" s="17">
        <f t="shared" si="8"/>
        <v>0.041044955245506</v>
      </c>
      <c r="L22" s="17">
        <f t="shared" si="8"/>
        <v>-0.00827954886237681</v>
      </c>
      <c r="M22" s="17">
        <f t="shared" si="8"/>
        <v>0.309720829154129</v>
      </c>
      <c r="N22" s="17">
        <f t="shared" ref="N22" si="9">-1*(N21/N20-1)</f>
        <v>0.00520494469746258</v>
      </c>
      <c r="O22" s="44">
        <f>AVERAGE(C22:N22)</f>
        <v>0.0641997938706418</v>
      </c>
      <c r="P22" s="3"/>
    </row>
    <row r="23" spans="1:16">
      <c r="A23" s="3"/>
      <c r="B23" s="40" t="s">
        <v>53</v>
      </c>
      <c r="C23" s="41"/>
      <c r="D23" s="42"/>
      <c r="E23" s="42"/>
      <c r="F23" s="42"/>
      <c r="G23" s="41"/>
      <c r="H23" s="41"/>
      <c r="I23" s="42"/>
      <c r="J23" s="42"/>
      <c r="K23" s="41"/>
      <c r="L23" s="42"/>
      <c r="M23" s="42"/>
      <c r="N23" s="42"/>
      <c r="P23" s="3"/>
    </row>
    <row r="24" spans="1:16">
      <c r="A24" s="3"/>
      <c r="B24" s="40" t="s">
        <v>54</v>
      </c>
      <c r="C24" s="41"/>
      <c r="D24" s="42"/>
      <c r="E24" s="42"/>
      <c r="F24" s="42"/>
      <c r="G24" s="41"/>
      <c r="H24" s="41"/>
      <c r="I24" s="42"/>
      <c r="J24" s="42"/>
      <c r="K24" s="41"/>
      <c r="L24" s="42"/>
      <c r="M24" s="42"/>
      <c r="N24" s="42"/>
      <c r="P24" s="3"/>
    </row>
    <row r="25" spans="1:16">
      <c r="A25" s="3"/>
      <c r="B25" s="45" t="s">
        <v>55</v>
      </c>
      <c r="C25" s="46"/>
      <c r="D25" s="47"/>
      <c r="E25" s="47"/>
      <c r="F25" s="47"/>
      <c r="G25" s="46"/>
      <c r="H25" s="46"/>
      <c r="I25" s="47"/>
      <c r="J25" s="47"/>
      <c r="K25" s="46"/>
      <c r="L25" s="47"/>
      <c r="M25" s="47"/>
      <c r="N25" s="47"/>
      <c r="P25" s="3"/>
    </row>
    <row r="26" spans="1:16">
      <c r="A26" s="3"/>
      <c r="C26" s="48"/>
      <c r="G26" s="48"/>
      <c r="H26" s="48"/>
      <c r="K26" s="48"/>
      <c r="P26" s="3"/>
    </row>
    <row r="27" spans="1:16">
      <c r="A27" s="37" t="s">
        <v>56</v>
      </c>
      <c r="B27" s="4" t="s">
        <v>57</v>
      </c>
      <c r="C27" s="38">
        <v>0.0467</v>
      </c>
      <c r="D27" s="39">
        <v>40.129</v>
      </c>
      <c r="E27" s="39">
        <v>22.007</v>
      </c>
      <c r="F27" s="39">
        <v>19.435</v>
      </c>
      <c r="G27" s="38">
        <v>0.026886</v>
      </c>
      <c r="H27" s="38">
        <v>0.024373</v>
      </c>
      <c r="I27" s="39">
        <v>7.875</v>
      </c>
      <c r="J27" s="39">
        <v>7.199</v>
      </c>
      <c r="K27" s="38">
        <v>0.258213</v>
      </c>
      <c r="L27" s="39">
        <v>6.999</v>
      </c>
      <c r="M27" s="39">
        <v>6.641</v>
      </c>
      <c r="N27" s="39">
        <v>1.253</v>
      </c>
      <c r="P27" s="1" t="s">
        <v>58</v>
      </c>
    </row>
    <row r="28" spans="1:16">
      <c r="A28" s="3"/>
      <c r="B28" s="40" t="s">
        <v>59</v>
      </c>
      <c r="C28" s="41">
        <v>0.045919</v>
      </c>
      <c r="D28" s="42">
        <v>39.694</v>
      </c>
      <c r="E28" s="42">
        <v>21.842</v>
      </c>
      <c r="F28" s="42">
        <v>19.014</v>
      </c>
      <c r="G28" s="41">
        <v>0.026481</v>
      </c>
      <c r="H28" s="41">
        <v>0.02376</v>
      </c>
      <c r="I28" s="42">
        <v>7.769</v>
      </c>
      <c r="J28" s="42">
        <v>6.283</v>
      </c>
      <c r="K28" s="41">
        <v>0.249351</v>
      </c>
      <c r="L28" s="42">
        <v>6.502</v>
      </c>
      <c r="M28" s="42">
        <v>6.101</v>
      </c>
      <c r="N28" s="42">
        <v>1.206</v>
      </c>
      <c r="P28" s="3"/>
    </row>
    <row r="29" spans="1:16">
      <c r="A29" s="3"/>
      <c r="B29" s="43" t="s">
        <v>39</v>
      </c>
      <c r="C29" s="17">
        <f>-1*(C28/C27-1)</f>
        <v>0.0167237687366166</v>
      </c>
      <c r="D29" s="17">
        <f t="shared" ref="D29" si="10">-1*(D28/D27-1)</f>
        <v>0.0108400408681999</v>
      </c>
      <c r="E29" s="17">
        <f t="shared" ref="E29" si="11">-1*(E28/E27-1)</f>
        <v>0.00749761439541974</v>
      </c>
      <c r="F29" s="17">
        <f t="shared" ref="F29" si="12">-1*(F28/F27-1)</f>
        <v>0.0216619500900437</v>
      </c>
      <c r="G29" s="17">
        <f t="shared" ref="G29:L29" si="13">-1*(G28/G27-1)</f>
        <v>0.0150636018745816</v>
      </c>
      <c r="H29" s="17">
        <f t="shared" si="13"/>
        <v>0.025150781602593</v>
      </c>
      <c r="I29" s="17">
        <f t="shared" si="13"/>
        <v>0.0134603174603174</v>
      </c>
      <c r="J29" s="17">
        <f t="shared" si="13"/>
        <v>0.127239894429782</v>
      </c>
      <c r="K29" s="17">
        <f t="shared" ref="K29" si="14">-1*(K28/K27-1)</f>
        <v>0.0343205028406782</v>
      </c>
      <c r="L29" s="17">
        <f t="shared" si="13"/>
        <v>0.0710101443063295</v>
      </c>
      <c r="M29" s="17">
        <f t="shared" ref="M29" si="15">-1*(M28/M27-1)</f>
        <v>0.0813130552627617</v>
      </c>
      <c r="N29" s="17">
        <f t="shared" ref="N29" si="16">-1*(N28/N27-1)</f>
        <v>0.0375099760574621</v>
      </c>
      <c r="O29" s="44">
        <f>AVERAGE(C29:N29)</f>
        <v>0.0384826373270654</v>
      </c>
      <c r="P29" s="3"/>
    </row>
    <row r="30" spans="1:16">
      <c r="A30" s="3"/>
      <c r="B30" s="40" t="s">
        <v>60</v>
      </c>
      <c r="C30" s="41"/>
      <c r="D30" s="42"/>
      <c r="E30" s="42"/>
      <c r="F30" s="42"/>
      <c r="G30" s="41"/>
      <c r="H30" s="41"/>
      <c r="I30" s="42"/>
      <c r="J30" s="42"/>
      <c r="K30" s="41"/>
      <c r="L30" s="42"/>
      <c r="M30" s="42"/>
      <c r="N30" s="42"/>
      <c r="P30" s="3"/>
    </row>
    <row r="31" spans="1:16">
      <c r="A31" s="3"/>
      <c r="B31" s="40" t="s">
        <v>61</v>
      </c>
      <c r="C31" s="41"/>
      <c r="D31" s="42"/>
      <c r="E31" s="42"/>
      <c r="F31" s="42"/>
      <c r="G31" s="41"/>
      <c r="H31" s="41"/>
      <c r="I31" s="42"/>
      <c r="J31" s="42"/>
      <c r="K31" s="41"/>
      <c r="L31" s="42"/>
      <c r="M31" s="42"/>
      <c r="N31" s="42"/>
      <c r="P31" s="3"/>
    </row>
    <row r="32" spans="1:16">
      <c r="A32" s="3"/>
      <c r="B32" s="45" t="s">
        <v>62</v>
      </c>
      <c r="C32" s="46"/>
      <c r="D32" s="47"/>
      <c r="E32" s="47"/>
      <c r="F32" s="47"/>
      <c r="G32" s="46"/>
      <c r="H32" s="46"/>
      <c r="I32" s="47"/>
      <c r="J32" s="47"/>
      <c r="K32" s="46"/>
      <c r="L32" s="47"/>
      <c r="M32" s="47"/>
      <c r="N32" s="47"/>
      <c r="P32" s="3"/>
    </row>
  </sheetData>
  <mergeCells count="1">
    <mergeCell ref="B3:B4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AE37"/>
  <sheetViews>
    <sheetView workbookViewId="0">
      <selection activeCell="O10" sqref="O10"/>
    </sheetView>
  </sheetViews>
  <sheetFormatPr defaultColWidth="9" defaultRowHeight="14"/>
  <cols>
    <col min="1" max="2" width="9" style="5"/>
    <col min="3" max="3" width="34.7545454545455" style="5" customWidth="1"/>
    <col min="4" max="14" width="13.5" style="5" customWidth="1"/>
    <col min="15" max="16384" width="9" style="5"/>
  </cols>
  <sheetData>
    <row r="5" spans="3:28">
      <c r="C5" s="6" t="s">
        <v>17</v>
      </c>
      <c r="D5" s="6" t="s">
        <v>63</v>
      </c>
      <c r="E5" s="6" t="s">
        <v>64</v>
      </c>
      <c r="F5" s="6" t="s">
        <v>65</v>
      </c>
      <c r="G5" s="6" t="s">
        <v>66</v>
      </c>
      <c r="H5" s="6" t="s">
        <v>67</v>
      </c>
      <c r="I5" s="6" t="s">
        <v>68</v>
      </c>
      <c r="J5" s="6" t="s">
        <v>69</v>
      </c>
      <c r="K5" s="6" t="s">
        <v>70</v>
      </c>
      <c r="L5" s="6" t="s">
        <v>71</v>
      </c>
      <c r="M5" s="6" t="s">
        <v>72</v>
      </c>
      <c r="N5" s="6" t="s">
        <v>73</v>
      </c>
      <c r="O5" s="5" t="s">
        <v>33</v>
      </c>
    </row>
    <row r="6" spans="3:28">
      <c r="C6" s="7" t="s">
        <v>37</v>
      </c>
      <c r="D6" s="8" t="s">
        <v>74</v>
      </c>
      <c r="E6" s="8">
        <v>0.739094</v>
      </c>
      <c r="F6" s="8">
        <v>0.396781</v>
      </c>
      <c r="G6" s="8">
        <v>0.020516</v>
      </c>
      <c r="H6" s="8">
        <v>0.125156</v>
      </c>
      <c r="I6" s="8">
        <v>0.161422</v>
      </c>
      <c r="J6" s="8">
        <v>0.211578</v>
      </c>
      <c r="K6" s="8">
        <v>0.370969</v>
      </c>
      <c r="L6" s="8">
        <v>0.190781</v>
      </c>
      <c r="M6" s="8">
        <v>0.207969</v>
      </c>
      <c r="N6" s="8">
        <v>0.078719</v>
      </c>
      <c r="P6" s="9" t="s">
        <v>75</v>
      </c>
      <c r="R6" s="8" t="s">
        <v>74</v>
      </c>
      <c r="S6" s="8">
        <v>0.312906</v>
      </c>
      <c r="T6" s="8">
        <v>0.366406</v>
      </c>
      <c r="U6" s="8">
        <v>0.017812</v>
      </c>
      <c r="V6" s="8">
        <v>0.136602</v>
      </c>
      <c r="W6" s="8">
        <v>0.1915</v>
      </c>
      <c r="X6" s="8">
        <v>0.079172</v>
      </c>
      <c r="Y6" s="8">
        <v>0.340469</v>
      </c>
      <c r="Z6" s="8">
        <v>0.285844</v>
      </c>
      <c r="AA6" s="8">
        <v>0.261953</v>
      </c>
      <c r="AB6" s="8">
        <v>0.095109</v>
      </c>
    </row>
    <row r="7" spans="3:28">
      <c r="C7" s="10"/>
      <c r="D7" s="8" t="s">
        <v>76</v>
      </c>
      <c r="E7" s="8">
        <v>1.042453</v>
      </c>
      <c r="F7" s="8">
        <v>0.900817</v>
      </c>
      <c r="G7" s="8">
        <v>0.185694</v>
      </c>
      <c r="H7" s="8">
        <v>0.385189</v>
      </c>
      <c r="I7" s="8">
        <v>0.655355</v>
      </c>
      <c r="J7" s="8">
        <v>0.398511</v>
      </c>
      <c r="K7" s="8">
        <v>0.82544</v>
      </c>
      <c r="L7" s="8">
        <v>0.774865</v>
      </c>
      <c r="M7" s="8">
        <v>0.483219</v>
      </c>
      <c r="N7" s="8">
        <v>0.513994</v>
      </c>
      <c r="R7" s="8" t="s">
        <v>76</v>
      </c>
      <c r="S7" s="8">
        <v>1.047379</v>
      </c>
      <c r="T7" s="8">
        <v>0.90293</v>
      </c>
      <c r="U7" s="8">
        <v>0.169321</v>
      </c>
      <c r="V7" s="8">
        <v>0.381767</v>
      </c>
      <c r="W7" s="8">
        <v>0.656238</v>
      </c>
      <c r="X7" s="8">
        <v>0.394806</v>
      </c>
      <c r="Y7" s="8">
        <v>0.838934</v>
      </c>
      <c r="Z7" s="8">
        <v>0.747132</v>
      </c>
      <c r="AA7" s="8">
        <v>0.485465</v>
      </c>
      <c r="AB7" s="8">
        <v>0.52274</v>
      </c>
    </row>
    <row r="8" spans="3:28">
      <c r="C8" s="11" t="s">
        <v>38</v>
      </c>
      <c r="D8" s="12" t="s">
        <v>74</v>
      </c>
      <c r="E8" s="12">
        <v>0.35525</v>
      </c>
      <c r="F8" s="12">
        <v>0.334406</v>
      </c>
      <c r="G8" s="12">
        <v>0.017109</v>
      </c>
      <c r="H8" s="12">
        <v>0.060609</v>
      </c>
      <c r="I8" s="12">
        <v>0.111813</v>
      </c>
      <c r="J8" s="12">
        <v>0.073375</v>
      </c>
      <c r="K8" s="12">
        <v>0.283031</v>
      </c>
      <c r="L8" s="12">
        <v>0.156969</v>
      </c>
      <c r="M8" s="12">
        <v>0.087797</v>
      </c>
      <c r="N8" s="12">
        <v>0.074328</v>
      </c>
    </row>
    <row r="9" spans="3:28">
      <c r="C9" s="13"/>
      <c r="D9" s="14" t="s">
        <v>76</v>
      </c>
      <c r="E9" s="12">
        <v>1.049101</v>
      </c>
      <c r="F9" s="12">
        <v>0.916919</v>
      </c>
      <c r="G9" s="12">
        <v>0.171125</v>
      </c>
      <c r="H9" s="12">
        <v>0.379008</v>
      </c>
      <c r="I9" s="12">
        <v>0.64678</v>
      </c>
      <c r="J9" s="12">
        <v>0.395094</v>
      </c>
      <c r="K9" s="12">
        <v>0.83296</v>
      </c>
      <c r="L9" s="12">
        <v>0.743083</v>
      </c>
      <c r="M9" s="12">
        <v>0.477895</v>
      </c>
      <c r="N9" s="12">
        <v>0.507828</v>
      </c>
    </row>
    <row r="10" spans="3:28">
      <c r="C10" s="15" t="s">
        <v>39</v>
      </c>
      <c r="D10" s="16" t="s">
        <v>74</v>
      </c>
      <c r="E10" s="17">
        <f t="shared" ref="E10:N10" si="0">-1*(E8/E6-1)</f>
        <v>0.519343953543122</v>
      </c>
      <c r="F10" s="17">
        <f t="shared" si="0"/>
        <v>0.157202587825526</v>
      </c>
      <c r="G10" s="17">
        <f t="shared" si="0"/>
        <v>0.166065509845974</v>
      </c>
      <c r="H10" s="17">
        <f t="shared" si="0"/>
        <v>0.515732366007223</v>
      </c>
      <c r="I10" s="17">
        <f t="shared" si="0"/>
        <v>0.30732489995168</v>
      </c>
      <c r="J10" s="17">
        <f t="shared" si="0"/>
        <v>0.653201183487886</v>
      </c>
      <c r="K10" s="17">
        <f t="shared" si="0"/>
        <v>0.237049456962711</v>
      </c>
      <c r="L10" s="18">
        <f t="shared" si="0"/>
        <v>0.17722938867078</v>
      </c>
      <c r="M10" s="17">
        <f t="shared" si="0"/>
        <v>0.577836119806317</v>
      </c>
      <c r="N10" s="17">
        <f t="shared" si="0"/>
        <v>0.0557806882709383</v>
      </c>
      <c r="O10" s="19">
        <f>AVERAGE(E10:N10)</f>
        <v>0.336676615437216</v>
      </c>
    </row>
    <row r="11" spans="3:28">
      <c r="C11" s="20"/>
      <c r="D11" s="16" t="s">
        <v>76</v>
      </c>
      <c r="E11" s="21">
        <f t="shared" ref="E11:N11" si="1">-1*(E9/E7-1)</f>
        <v>-0.00637726592949517</v>
      </c>
      <c r="F11" s="21">
        <f t="shared" si="1"/>
        <v>-0.017874884688011</v>
      </c>
      <c r="G11" s="17">
        <f t="shared" si="1"/>
        <v>0.0784570314603595</v>
      </c>
      <c r="H11" s="17">
        <f t="shared" si="1"/>
        <v>0.0160466679993457</v>
      </c>
      <c r="I11" s="17">
        <f t="shared" si="1"/>
        <v>0.0130845114479938</v>
      </c>
      <c r="J11" s="17">
        <f t="shared" si="1"/>
        <v>0.00857441827201755</v>
      </c>
      <c r="K11" s="21">
        <f t="shared" si="1"/>
        <v>-0.00911029269238228</v>
      </c>
      <c r="L11" s="18">
        <f t="shared" si="1"/>
        <v>0.0410161770114794</v>
      </c>
      <c r="M11" s="17">
        <f t="shared" si="1"/>
        <v>0.011017778688338</v>
      </c>
      <c r="N11" s="17">
        <f t="shared" si="1"/>
        <v>0.0119962489834512</v>
      </c>
      <c r="O11" s="19">
        <f>AVERAGE(E11:N11)</f>
        <v>0.0146830390553097</v>
      </c>
    </row>
    <row r="12" spans="3:28">
      <c r="C12" s="11" t="s">
        <v>77</v>
      </c>
      <c r="D12" s="12" t="s">
        <v>74</v>
      </c>
      <c r="E12" s="12">
        <v>0.30625</v>
      </c>
      <c r="F12" s="12">
        <v>0.300125</v>
      </c>
      <c r="G12" s="12">
        <v>0.016828</v>
      </c>
      <c r="H12" s="12">
        <v>0.060555</v>
      </c>
      <c r="I12" s="12">
        <v>0.107328</v>
      </c>
      <c r="J12" s="12">
        <v>0.070688</v>
      </c>
      <c r="K12" s="12">
        <v>0.19075</v>
      </c>
      <c r="L12" s="12">
        <v>0.154469</v>
      </c>
      <c r="M12" s="12">
        <v>0.083187</v>
      </c>
      <c r="N12" s="12"/>
      <c r="Q12" s="5" t="s">
        <v>78</v>
      </c>
    </row>
    <row r="13" spans="3:28">
      <c r="C13" s="13"/>
      <c r="D13" s="12" t="s">
        <v>76</v>
      </c>
      <c r="E13" s="12">
        <v>1.051703</v>
      </c>
      <c r="F13" s="12">
        <v>0.891308</v>
      </c>
      <c r="G13" s="12">
        <v>0.166551</v>
      </c>
      <c r="H13" s="12">
        <v>0.375836</v>
      </c>
      <c r="I13" s="12">
        <v>0.638792</v>
      </c>
      <c r="J13" s="12">
        <v>0.385764</v>
      </c>
      <c r="K13" s="12">
        <v>0.778571</v>
      </c>
      <c r="L13" s="12">
        <v>0.74746</v>
      </c>
      <c r="M13" s="12">
        <v>0.478761</v>
      </c>
      <c r="N13" s="12"/>
    </row>
    <row r="14" spans="3:28">
      <c r="C14" s="15" t="s">
        <v>39</v>
      </c>
      <c r="D14" s="16" t="s">
        <v>74</v>
      </c>
      <c r="E14" s="17">
        <f t="shared" ref="E14:M14" si="2">-1*(E12/E8-1)</f>
        <v>0.137931034482759</v>
      </c>
      <c r="F14" s="17">
        <f t="shared" si="2"/>
        <v>0.102513112803</v>
      </c>
      <c r="G14" s="17">
        <f t="shared" si="2"/>
        <v>0.0164241042726051</v>
      </c>
      <c r="H14" s="17">
        <f t="shared" si="2"/>
        <v>0.000890956788595854</v>
      </c>
      <c r="I14" s="17">
        <f t="shared" si="2"/>
        <v>0.0401116149284966</v>
      </c>
      <c r="J14" s="17">
        <f t="shared" si="2"/>
        <v>0.0366201022146507</v>
      </c>
      <c r="K14" s="17">
        <f t="shared" si="2"/>
        <v>0.32604555684713</v>
      </c>
      <c r="L14" s="17">
        <f t="shared" si="2"/>
        <v>0.0159267116437004</v>
      </c>
      <c r="M14" s="17">
        <f t="shared" si="2"/>
        <v>0.0525074888663623</v>
      </c>
      <c r="N14" s="16"/>
      <c r="O14" s="19">
        <f>AVERAGE(E14:N14)</f>
        <v>0.0809967425385888</v>
      </c>
    </row>
    <row r="15" spans="3:28">
      <c r="C15" s="20"/>
      <c r="D15" s="16" t="s">
        <v>76</v>
      </c>
      <c r="E15" s="21">
        <f t="shared" ref="E15:M15" si="3">-1*(E13/E9-1)</f>
        <v>-0.0024802187777917</v>
      </c>
      <c r="F15" s="17">
        <f t="shared" si="3"/>
        <v>0.027931583923989</v>
      </c>
      <c r="G15" s="17">
        <f t="shared" si="3"/>
        <v>0.0267289992695398</v>
      </c>
      <c r="H15" s="17">
        <f t="shared" si="3"/>
        <v>0.0083692164809186</v>
      </c>
      <c r="I15" s="17">
        <f t="shared" si="3"/>
        <v>0.0123504128142491</v>
      </c>
      <c r="J15" s="17">
        <f t="shared" si="3"/>
        <v>0.0236146334796277</v>
      </c>
      <c r="K15" s="17">
        <f t="shared" si="3"/>
        <v>0.065296052631579</v>
      </c>
      <c r="L15" s="21">
        <f t="shared" si="3"/>
        <v>-0.00589032449941662</v>
      </c>
      <c r="M15" s="21">
        <f t="shared" si="3"/>
        <v>-0.00181211353958499</v>
      </c>
      <c r="N15" s="16"/>
      <c r="O15" s="19">
        <f>AVERAGE(E15:N15)</f>
        <v>0.0171231379759011</v>
      </c>
    </row>
    <row r="16" spans="3:28">
      <c r="C16" s="22" t="s">
        <v>41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spans="3:31">
      <c r="C17" s="23" t="s">
        <v>42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</row>
    <row r="18" spans="3:31">
      <c r="E18" s="25"/>
      <c r="F18" s="25"/>
      <c r="G18" s="25"/>
      <c r="H18" s="25"/>
      <c r="I18" s="25"/>
      <c r="J18" s="25"/>
      <c r="K18" s="25"/>
      <c r="L18" s="25"/>
      <c r="M18" s="25"/>
      <c r="N18" s="25"/>
      <c r="V18" s="26" t="s">
        <v>35</v>
      </c>
      <c r="W18" s="26"/>
      <c r="X18" s="26"/>
    </row>
    <row r="19" spans="3:31">
      <c r="C19" s="7" t="s">
        <v>79</v>
      </c>
      <c r="D19" s="8" t="s">
        <v>74</v>
      </c>
      <c r="E19" s="8">
        <v>0.055469</v>
      </c>
      <c r="F19" s="8">
        <v>0.020813</v>
      </c>
      <c r="G19" s="8">
        <v>0.006266</v>
      </c>
      <c r="H19" s="8">
        <v>0.010945</v>
      </c>
      <c r="I19" s="8">
        <v>0.014844</v>
      </c>
      <c r="J19" s="8">
        <v>0.013125</v>
      </c>
      <c r="K19" s="8">
        <v>0.027</v>
      </c>
      <c r="L19" s="8">
        <v>0.019656</v>
      </c>
      <c r="M19" s="8">
        <v>0.009281</v>
      </c>
      <c r="N19" s="8">
        <v>0.012375</v>
      </c>
      <c r="O19" s="5" t="s">
        <v>80</v>
      </c>
      <c r="S19" s="9" t="s">
        <v>81</v>
      </c>
      <c r="V19" s="8">
        <v>0.0475</v>
      </c>
      <c r="W19" s="8">
        <v>0.014844</v>
      </c>
      <c r="X19" s="8">
        <v>0.006562</v>
      </c>
      <c r="Y19" s="8">
        <v>0.010641</v>
      </c>
      <c r="Z19" s="8">
        <v>0.014234</v>
      </c>
      <c r="AA19" s="8">
        <v>0.013125</v>
      </c>
      <c r="AB19" s="8">
        <v>0.027</v>
      </c>
      <c r="AC19" s="8">
        <v>0.022719</v>
      </c>
      <c r="AD19" s="8">
        <v>0.009281</v>
      </c>
      <c r="AE19" s="8">
        <v>0.011984</v>
      </c>
    </row>
    <row r="20" spans="3:31">
      <c r="C20" s="10"/>
      <c r="D20" s="8" t="s">
        <v>76</v>
      </c>
      <c r="E20" s="8">
        <v>0.151638</v>
      </c>
      <c r="F20" s="8">
        <v>0.057294</v>
      </c>
      <c r="G20" s="8">
        <v>0.006559</v>
      </c>
      <c r="H20" s="8">
        <v>0.056882</v>
      </c>
      <c r="I20" s="8">
        <v>0.08904</v>
      </c>
      <c r="J20" s="8">
        <v>0.028075</v>
      </c>
      <c r="K20" s="8">
        <v>0.10488</v>
      </c>
      <c r="L20" s="8">
        <v>0.083484</v>
      </c>
      <c r="M20" s="8">
        <v>0.028415</v>
      </c>
      <c r="N20" s="8">
        <v>0.05252</v>
      </c>
      <c r="V20" s="8">
        <v>0.148145</v>
      </c>
      <c r="W20" s="8">
        <v>0.057004</v>
      </c>
      <c r="X20" s="8">
        <v>0.006757</v>
      </c>
      <c r="Y20" s="8">
        <v>0.055608</v>
      </c>
      <c r="Z20" s="8">
        <v>0.089559</v>
      </c>
      <c r="AA20" s="8">
        <v>0.028075</v>
      </c>
      <c r="AB20" s="8">
        <v>0.10488</v>
      </c>
      <c r="AC20" s="8">
        <v>0.081046</v>
      </c>
      <c r="AD20" s="8">
        <v>0.028415</v>
      </c>
      <c r="AE20" s="8">
        <v>0.051765</v>
      </c>
    </row>
    <row r="21" spans="3:31">
      <c r="C21" s="11" t="s">
        <v>82</v>
      </c>
      <c r="D21" s="12" t="s">
        <v>74</v>
      </c>
      <c r="E21" s="12">
        <v>0.0465</v>
      </c>
      <c r="F21" s="12">
        <v>0.014969</v>
      </c>
      <c r="G21" s="12">
        <v>0.006219</v>
      </c>
      <c r="H21" s="12">
        <v>0.009922</v>
      </c>
      <c r="I21" s="12">
        <v>0.014609</v>
      </c>
      <c r="J21" s="12">
        <v>0.009484</v>
      </c>
      <c r="K21" s="12">
        <v>0.025656</v>
      </c>
      <c r="L21" s="12">
        <v>0.015656</v>
      </c>
      <c r="M21" s="12">
        <v>0.008391</v>
      </c>
      <c r="N21" s="12">
        <v>0.012219</v>
      </c>
      <c r="V21" s="12">
        <v>0.046563</v>
      </c>
      <c r="W21" s="12"/>
      <c r="X21" s="12"/>
      <c r="Y21" s="12"/>
      <c r="Z21" s="12"/>
      <c r="AA21" s="12">
        <v>0.009187</v>
      </c>
      <c r="AB21" s="12"/>
      <c r="AC21" s="12">
        <v>0.021469</v>
      </c>
      <c r="AD21" s="12">
        <v>0.008734</v>
      </c>
      <c r="AE21" s="12"/>
    </row>
    <row r="22" spans="3:31">
      <c r="C22" s="13"/>
      <c r="D22" s="14" t="s">
        <v>76</v>
      </c>
      <c r="E22" s="12">
        <v>0.149963</v>
      </c>
      <c r="F22" s="12">
        <v>0.057956</v>
      </c>
      <c r="G22" s="12">
        <v>0.00644</v>
      </c>
      <c r="H22" s="12">
        <v>0.055199</v>
      </c>
      <c r="I22" s="12">
        <v>0.088941</v>
      </c>
      <c r="J22" s="12">
        <v>0.027931</v>
      </c>
      <c r="K22" s="12">
        <v>0.104603</v>
      </c>
      <c r="L22" s="12">
        <v>0.078422</v>
      </c>
      <c r="M22" s="12">
        <v>0.026324</v>
      </c>
      <c r="N22" s="12">
        <v>0.050962</v>
      </c>
      <c r="V22" s="12">
        <v>0.148277</v>
      </c>
      <c r="W22" s="12"/>
      <c r="X22" s="12"/>
      <c r="Y22" s="12"/>
      <c r="Z22" s="12"/>
      <c r="AA22" s="12">
        <v>0.028398</v>
      </c>
      <c r="AB22" s="12"/>
      <c r="AC22" s="12">
        <v>0.080391</v>
      </c>
      <c r="AD22" s="12">
        <v>0.027959</v>
      </c>
      <c r="AE22" s="12"/>
    </row>
    <row r="23" spans="3:31">
      <c r="C23" s="15" t="s">
        <v>39</v>
      </c>
      <c r="D23" s="16" t="s">
        <v>74</v>
      </c>
      <c r="E23" s="17">
        <f t="shared" ref="E23:F23" si="4">-1*(E21/E19-1)</f>
        <v>0.161693919125998</v>
      </c>
      <c r="F23" s="17">
        <f t="shared" si="4"/>
        <v>0.28078604718205</v>
      </c>
      <c r="G23" s="17">
        <f t="shared" ref="G23" si="5">-1*(G21/G19-1)</f>
        <v>0.00750079795722947</v>
      </c>
      <c r="H23" s="17">
        <f t="shared" ref="H23:I23" si="6">-1*(H21/H19-1)</f>
        <v>0.093467336683417</v>
      </c>
      <c r="I23" s="17">
        <f t="shared" si="6"/>
        <v>0.0158313123147399</v>
      </c>
      <c r="J23" s="17">
        <f t="shared" ref="J23" si="7">-1*(J21/J19-1)</f>
        <v>0.277409523809524</v>
      </c>
      <c r="K23" s="17">
        <f t="shared" ref="K23" si="8">-1*(K21/K19-1)</f>
        <v>0.0497777777777777</v>
      </c>
      <c r="L23" s="17">
        <f t="shared" ref="L23:N23" si="9">-1*(L21/L19-1)</f>
        <v>0.203500203500203</v>
      </c>
      <c r="M23" s="17">
        <f t="shared" ref="M23" si="10">-1*(M21/M19-1)</f>
        <v>0.09589483891822</v>
      </c>
      <c r="N23" s="17">
        <f t="shared" si="9"/>
        <v>0.0126060606060606</v>
      </c>
      <c r="O23" s="19">
        <f>AVERAGE(E23:N23)</f>
        <v>0.119846781787522</v>
      </c>
      <c r="V23" s="17">
        <f t="shared" ref="V23" si="11">-1*(V21/V19-1)</f>
        <v>0.0197263157894737</v>
      </c>
      <c r="W23" s="27"/>
      <c r="X23" s="27"/>
      <c r="Y23" s="27"/>
      <c r="Z23" s="27"/>
      <c r="AA23" s="17">
        <f t="shared" ref="AA23" si="12">-1*(AA21/AA19-1)</f>
        <v>0.300038095238095</v>
      </c>
      <c r="AB23" s="27"/>
      <c r="AC23" s="17">
        <f t="shared" ref="AC23:AD23" si="13">-1*(AC21/AC19-1)</f>
        <v>0.0550200272899336</v>
      </c>
      <c r="AD23" s="17">
        <f t="shared" si="13"/>
        <v>0.0589376144811981</v>
      </c>
      <c r="AE23" s="27"/>
    </row>
    <row r="24" spans="3:31">
      <c r="C24" s="20"/>
      <c r="D24" s="16" t="s">
        <v>76</v>
      </c>
      <c r="E24" s="18">
        <f t="shared" ref="E24:F24" si="14">-1*(E22/E20-1)</f>
        <v>0.011046043867632</v>
      </c>
      <c r="F24" s="21">
        <f t="shared" si="14"/>
        <v>-0.0115544385101407</v>
      </c>
      <c r="G24" s="17">
        <f t="shared" ref="G24" si="15">-1*(G22/G20-1)</f>
        <v>0.0181430096051226</v>
      </c>
      <c r="H24" s="17">
        <f t="shared" ref="H24:I24" si="16">-1*(H22/H20-1)</f>
        <v>0.0295875672444711</v>
      </c>
      <c r="I24" s="17">
        <f t="shared" si="16"/>
        <v>0.00111185983827478</v>
      </c>
      <c r="J24" s="17">
        <f t="shared" ref="J24" si="17">-1*(J22/J20-1)</f>
        <v>0.00512911843276931</v>
      </c>
      <c r="K24" s="17">
        <f t="shared" ref="K24" si="18">-1*(K22/K20-1)</f>
        <v>0.00264111365369946</v>
      </c>
      <c r="L24" s="17">
        <f t="shared" ref="L24:N24" si="19">-1*(L22/L20-1)</f>
        <v>0.0606343730535192</v>
      </c>
      <c r="M24" s="17">
        <f t="shared" ref="M24" si="20">-1*(M22/M20-1)</f>
        <v>0.0735878937181066</v>
      </c>
      <c r="N24" s="17">
        <f t="shared" si="19"/>
        <v>0.0296648895658796</v>
      </c>
      <c r="O24" s="19">
        <f>AVERAGE(E24:N24)</f>
        <v>0.0219991430469334</v>
      </c>
      <c r="V24" s="21">
        <f t="shared" ref="V24" si="21">-1*(V22/V20-1)</f>
        <v>-0.000891018934152221</v>
      </c>
      <c r="W24" s="27"/>
      <c r="X24" s="27"/>
      <c r="Y24" s="27"/>
      <c r="Z24" s="27"/>
      <c r="AA24" s="17">
        <f t="shared" ref="AA24" si="22">-1*(AA22/AA20-1)</f>
        <v>-0.0115048975957257</v>
      </c>
      <c r="AB24" s="27"/>
      <c r="AC24" s="17">
        <f t="shared" ref="AC24:AD24" si="23">-1*(AC22/AC20-1)</f>
        <v>0.00808183007181107</v>
      </c>
      <c r="AD24" s="17">
        <f t="shared" si="23"/>
        <v>0.0160478620446947</v>
      </c>
      <c r="AE24" s="27"/>
    </row>
    <row r="25" spans="3:31">
      <c r="C25" s="22" t="s">
        <v>83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spans="3:31">
      <c r="C26" s="22" t="s">
        <v>84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3:31">
      <c r="C27" s="23" t="s">
        <v>85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8" spans="3:31">
      <c r="E28" s="25"/>
      <c r="F28" s="25"/>
      <c r="G28" s="25"/>
      <c r="H28" s="25"/>
      <c r="I28" s="25"/>
      <c r="J28" s="25"/>
      <c r="K28" s="25"/>
      <c r="L28" s="25"/>
      <c r="M28" s="25"/>
      <c r="N28" s="25"/>
    </row>
    <row r="29" spans="3:31">
      <c r="C29" s="7" t="s">
        <v>57</v>
      </c>
      <c r="D29" s="8" t="s">
        <v>74</v>
      </c>
      <c r="E29" s="8">
        <v>0.180906</v>
      </c>
      <c r="F29" s="8">
        <v>0.097938</v>
      </c>
      <c r="G29" s="8">
        <v>0.006469</v>
      </c>
      <c r="H29" s="8">
        <v>0.037844</v>
      </c>
      <c r="I29" s="8">
        <v>0.060047</v>
      </c>
      <c r="J29" s="8">
        <v>0.038234</v>
      </c>
      <c r="K29" s="8">
        <v>0.10425</v>
      </c>
      <c r="L29" s="8">
        <v>0.141188</v>
      </c>
      <c r="M29" s="8">
        <v>0.034516</v>
      </c>
      <c r="N29" s="8">
        <v>0.080875</v>
      </c>
      <c r="P29" s="9" t="s">
        <v>75</v>
      </c>
      <c r="R29" s="8"/>
      <c r="S29" s="8">
        <v>0.068906</v>
      </c>
      <c r="T29" s="8"/>
      <c r="U29" s="8">
        <v>0.067094</v>
      </c>
      <c r="V29" s="8"/>
      <c r="W29" s="8">
        <v>0.048094</v>
      </c>
      <c r="X29" s="8"/>
      <c r="Y29" s="8">
        <v>0.081437</v>
      </c>
      <c r="Z29" s="8"/>
      <c r="AA29" s="8"/>
    </row>
    <row r="30" spans="3:31">
      <c r="C30" s="10"/>
      <c r="D30" s="8" t="s">
        <v>76</v>
      </c>
      <c r="E30" s="8">
        <v>0.391338</v>
      </c>
      <c r="F30" s="8">
        <v>0.217755</v>
      </c>
      <c r="G30" s="8">
        <v>0.021509</v>
      </c>
      <c r="H30" s="8">
        <v>0.194318</v>
      </c>
      <c r="I30" s="8">
        <v>0.29278</v>
      </c>
      <c r="J30" s="8">
        <v>0.111407</v>
      </c>
      <c r="K30" s="8">
        <v>0.322653</v>
      </c>
      <c r="L30" s="8">
        <v>0.286917</v>
      </c>
      <c r="M30" s="8">
        <v>0.109783</v>
      </c>
      <c r="N30" s="8">
        <v>0.277021</v>
      </c>
      <c r="R30" s="8"/>
      <c r="S30" s="8">
        <v>0.217272</v>
      </c>
      <c r="T30" s="8"/>
      <c r="U30" s="8">
        <v>0.18878</v>
      </c>
      <c r="V30" s="8"/>
      <c r="W30" s="8">
        <v>0.109424</v>
      </c>
      <c r="X30" s="8"/>
      <c r="Y30" s="8">
        <v>0.284201</v>
      </c>
      <c r="Z30" s="8"/>
      <c r="AA30" s="8"/>
    </row>
    <row r="31" spans="3:31">
      <c r="C31" s="11" t="s">
        <v>59</v>
      </c>
      <c r="D31" s="12" t="s">
        <v>74</v>
      </c>
      <c r="E31" s="12">
        <v>0.136219</v>
      </c>
      <c r="F31" s="12">
        <v>0.067875</v>
      </c>
      <c r="G31" s="12">
        <v>0.004125</v>
      </c>
      <c r="H31" s="12">
        <v>0.03575</v>
      </c>
      <c r="I31" s="12">
        <v>0.056594</v>
      </c>
      <c r="J31" s="12">
        <v>0.027531</v>
      </c>
      <c r="K31" s="12">
        <v>0.099344</v>
      </c>
      <c r="L31" s="12">
        <v>0.095688</v>
      </c>
      <c r="M31" s="12">
        <v>0.024125</v>
      </c>
      <c r="N31" s="12">
        <v>0.036828</v>
      </c>
    </row>
    <row r="32" spans="3:31">
      <c r="C32" s="13"/>
      <c r="D32" s="14" t="s">
        <v>76</v>
      </c>
      <c r="E32" s="12">
        <v>0.385984</v>
      </c>
      <c r="F32" s="12">
        <v>0.216648</v>
      </c>
      <c r="G32" s="12">
        <v>0.021005</v>
      </c>
      <c r="H32" s="12">
        <v>0.187412</v>
      </c>
      <c r="I32" s="12">
        <v>0.284557</v>
      </c>
      <c r="J32" s="12">
        <v>0.11102</v>
      </c>
      <c r="K32" s="12">
        <v>0.320227</v>
      </c>
      <c r="L32" s="12">
        <v>0.282986</v>
      </c>
      <c r="M32" s="12">
        <v>0.108041</v>
      </c>
      <c r="N32" s="12">
        <v>0.171793</v>
      </c>
    </row>
    <row r="33" spans="3:15">
      <c r="C33" s="15" t="s">
        <v>39</v>
      </c>
      <c r="D33" s="16" t="s">
        <v>74</v>
      </c>
      <c r="E33" s="17">
        <f>-1*(E31/E29-1)</f>
        <v>0.247017788243618</v>
      </c>
      <c r="F33" s="17">
        <f>-1*(F31/F29-1)</f>
        <v>0.306959504992955</v>
      </c>
      <c r="G33" s="17">
        <f t="shared" ref="G33:I34" si="24">-1*(G31/G29-1)</f>
        <v>0.362343484309785</v>
      </c>
      <c r="H33" s="17">
        <f t="shared" si="24"/>
        <v>0.0553324172920412</v>
      </c>
      <c r="I33" s="17">
        <f t="shared" si="24"/>
        <v>0.0575049544523457</v>
      </c>
      <c r="J33" s="17">
        <f t="shared" ref="J33:K33" si="25">-1*(J31/J29-1)</f>
        <v>0.279934090076895</v>
      </c>
      <c r="K33" s="17">
        <f t="shared" si="25"/>
        <v>0.0470599520383692</v>
      </c>
      <c r="L33" s="17">
        <f t="shared" ref="L33:N34" si="26">-1*(L31/L29-1)</f>
        <v>0.322265348329887</v>
      </c>
      <c r="M33" s="17">
        <f t="shared" si="26"/>
        <v>0.301048788967435</v>
      </c>
      <c r="N33" s="17">
        <f t="shared" si="26"/>
        <v>0.544630602782071</v>
      </c>
      <c r="O33" s="19">
        <f>AVERAGE(E33:N33)</f>
        <v>0.25240969314854</v>
      </c>
    </row>
    <row r="34" spans="3:15">
      <c r="C34" s="20"/>
      <c r="D34" s="16" t="s">
        <v>76</v>
      </c>
      <c r="E34" s="17">
        <f>-1*(E32/E30-1)</f>
        <v>0.0136812678554089</v>
      </c>
      <c r="F34" s="17">
        <f>-1*(F32/F30-1)</f>
        <v>0.0050836949783013</v>
      </c>
      <c r="G34" s="17">
        <f t="shared" si="24"/>
        <v>0.0234320516992887</v>
      </c>
      <c r="H34" s="17">
        <f t="shared" si="24"/>
        <v>0.035539682376311</v>
      </c>
      <c r="I34" s="17">
        <f t="shared" si="24"/>
        <v>0.0280859348316141</v>
      </c>
      <c r="J34" s="17">
        <f t="shared" ref="J34:K34" si="27">-1*(J32/J30-1)</f>
        <v>0.00347374940533374</v>
      </c>
      <c r="K34" s="17">
        <f t="shared" si="27"/>
        <v>0.0075189135077004</v>
      </c>
      <c r="L34" s="17">
        <f t="shared" si="26"/>
        <v>0.0137008263713895</v>
      </c>
      <c r="M34" s="17">
        <f t="shared" si="26"/>
        <v>0.0158676662142591</v>
      </c>
      <c r="N34" s="17">
        <f t="shared" si="26"/>
        <v>0.379855678811354</v>
      </c>
      <c r="O34" s="19">
        <f>AVERAGE(E34:N34)</f>
        <v>0.052623946605096</v>
      </c>
    </row>
    <row r="35" spans="3:15">
      <c r="C35" s="22" t="s">
        <v>60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 spans="3:15">
      <c r="C36" s="22" t="s">
        <v>61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spans="3:15">
      <c r="C37" s="23" t="s">
        <v>62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</row>
  </sheetData>
  <mergeCells count="12">
    <mergeCell ref="V18:X18"/>
    <mergeCell ref="C6:C7"/>
    <mergeCell ref="C8:C9"/>
    <mergeCell ref="C10:C11"/>
    <mergeCell ref="C12:C13"/>
    <mergeCell ref="C14:C15"/>
    <mergeCell ref="C19:C20"/>
    <mergeCell ref="C21:C22"/>
    <mergeCell ref="C23:C24"/>
    <mergeCell ref="C29:C30"/>
    <mergeCell ref="C31:C32"/>
    <mergeCell ref="C33:C34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H1003"/>
  <sheetViews>
    <sheetView topLeftCell="A13" workbookViewId="0">
      <selection activeCell="F19" sqref="F19"/>
    </sheetView>
  </sheetViews>
  <sheetFormatPr defaultColWidth="9" defaultRowHeight="14" outlineLevelCol="7"/>
  <sheetData>
    <row r="1" spans="4:8">
      <c r="D1" s="1" t="s">
        <v>86</v>
      </c>
      <c r="E1" s="3"/>
      <c r="F1" s="3"/>
      <c r="G1" s="3"/>
      <c r="H1" s="3"/>
    </row>
    <row r="2" spans="4:8">
      <c r="D2" s="1" t="s">
        <v>37</v>
      </c>
      <c r="E2" s="3"/>
      <c r="G2" s="1" t="s">
        <v>87</v>
      </c>
      <c r="H2" s="3"/>
    </row>
    <row r="3" spans="4:8">
      <c r="D3" s="1" t="s">
        <v>88</v>
      </c>
      <c r="E3" s="1" t="s">
        <v>89</v>
      </c>
      <c r="G3" s="1" t="s">
        <v>88</v>
      </c>
      <c r="H3" s="1" t="s">
        <v>89</v>
      </c>
    </row>
    <row r="4" spans="4:8">
      <c r="D4">
        <v>1.164167</v>
      </c>
      <c r="E4">
        <v>1.175221</v>
      </c>
      <c r="G4">
        <v>0.764005</v>
      </c>
      <c r="H4">
        <v>0.76234</v>
      </c>
    </row>
    <row r="5" spans="4:8">
      <c r="D5">
        <v>0.617016</v>
      </c>
      <c r="E5">
        <v>0.625737</v>
      </c>
      <c r="G5">
        <v>0.755023</v>
      </c>
      <c r="H5">
        <v>0.760187</v>
      </c>
    </row>
    <row r="6" spans="4:8">
      <c r="D6">
        <v>0.54642</v>
      </c>
      <c r="E6">
        <v>0.550737</v>
      </c>
      <c r="G6">
        <v>0.562772</v>
      </c>
      <c r="H6">
        <v>0.56986</v>
      </c>
    </row>
    <row r="7" spans="4:8">
      <c r="D7">
        <v>0.437559</v>
      </c>
      <c r="E7">
        <v>0.445614</v>
      </c>
      <c r="G7">
        <v>0.574784</v>
      </c>
      <c r="H7">
        <v>0.57709</v>
      </c>
    </row>
    <row r="8" spans="4:8">
      <c r="D8">
        <v>0.418151</v>
      </c>
      <c r="E8">
        <v>0.423002</v>
      </c>
      <c r="G8">
        <v>0.516019</v>
      </c>
      <c r="H8">
        <v>0.521041</v>
      </c>
    </row>
    <row r="9" spans="4:8">
      <c r="D9">
        <v>0.377666</v>
      </c>
      <c r="E9">
        <v>0.379326</v>
      </c>
      <c r="G9">
        <v>0.406413</v>
      </c>
      <c r="H9">
        <v>0.406828</v>
      </c>
    </row>
    <row r="10" spans="4:8">
      <c r="D10">
        <v>0.384168</v>
      </c>
      <c r="E10">
        <v>0.390499</v>
      </c>
      <c r="G10">
        <v>0.356118</v>
      </c>
      <c r="H10">
        <v>0.366395</v>
      </c>
    </row>
    <row r="11" spans="4:8">
      <c r="D11">
        <v>0.396397</v>
      </c>
      <c r="E11">
        <v>0.404638</v>
      </c>
      <c r="G11">
        <v>0.429493</v>
      </c>
      <c r="H11">
        <v>0.435656</v>
      </c>
    </row>
    <row r="12" spans="4:8">
      <c r="D12">
        <v>0.296302</v>
      </c>
      <c r="E12">
        <v>0.299631</v>
      </c>
      <c r="G12">
        <v>0.28007</v>
      </c>
      <c r="H12">
        <v>0.280397</v>
      </c>
    </row>
    <row r="13" spans="4:8">
      <c r="D13">
        <v>0.465855</v>
      </c>
      <c r="E13">
        <v>0.465989</v>
      </c>
      <c r="G13">
        <v>0.339285</v>
      </c>
      <c r="H13">
        <v>0.336982</v>
      </c>
    </row>
    <row r="14" spans="4:8">
      <c r="D14">
        <v>0.350556</v>
      </c>
      <c r="E14">
        <v>0.349351</v>
      </c>
      <c r="G14">
        <v>0.443253</v>
      </c>
      <c r="H14">
        <v>0.442701</v>
      </c>
    </row>
    <row r="15" spans="4:8">
      <c r="D15">
        <v>0.313124</v>
      </c>
      <c r="E15">
        <v>0.31717</v>
      </c>
      <c r="G15">
        <v>0.434844</v>
      </c>
      <c r="H15">
        <v>0.433349</v>
      </c>
    </row>
    <row r="16" spans="4:8">
      <c r="D16">
        <v>0.263699</v>
      </c>
      <c r="E16">
        <v>0.268583</v>
      </c>
      <c r="G16">
        <v>0.392176</v>
      </c>
      <c r="H16">
        <v>0.387157</v>
      </c>
    </row>
    <row r="17" spans="4:8">
      <c r="D17">
        <v>0.271977</v>
      </c>
      <c r="E17">
        <v>0.270128</v>
      </c>
      <c r="G17">
        <v>0.261946</v>
      </c>
      <c r="H17">
        <v>0.261847</v>
      </c>
    </row>
    <row r="18" spans="4:8">
      <c r="D18">
        <v>0.380497</v>
      </c>
      <c r="E18">
        <v>0.379118</v>
      </c>
      <c r="G18">
        <v>0.246033</v>
      </c>
      <c r="H18">
        <v>0.244611</v>
      </c>
    </row>
    <row r="19" spans="4:8">
      <c r="D19">
        <v>0.729638</v>
      </c>
      <c r="E19">
        <v>0.723316</v>
      </c>
      <c r="G19">
        <v>0.231293</v>
      </c>
      <c r="H19">
        <v>0.231471</v>
      </c>
    </row>
    <row r="20" spans="4:8">
      <c r="D20">
        <v>0.295511</v>
      </c>
      <c r="E20">
        <v>0.296675</v>
      </c>
      <c r="G20">
        <v>0.291695</v>
      </c>
      <c r="H20">
        <v>0.290916</v>
      </c>
    </row>
    <row r="21" spans="4:8">
      <c r="D21">
        <v>0.250051</v>
      </c>
      <c r="E21">
        <v>0.25494</v>
      </c>
      <c r="G21">
        <v>0.251517</v>
      </c>
      <c r="H21">
        <v>0.257328</v>
      </c>
    </row>
    <row r="22" spans="4:8">
      <c r="D22">
        <v>0.311088</v>
      </c>
      <c r="E22">
        <v>0.316696</v>
      </c>
      <c r="G22">
        <v>0.266468</v>
      </c>
      <c r="H22">
        <v>0.26848</v>
      </c>
    </row>
    <row r="23" spans="4:8">
      <c r="D23">
        <v>0.222271</v>
      </c>
      <c r="E23">
        <v>0.224444</v>
      </c>
      <c r="G23">
        <v>0.257792</v>
      </c>
      <c r="H23">
        <v>0.259657</v>
      </c>
    </row>
    <row r="24" spans="4:8">
      <c r="D24">
        <v>0.211607</v>
      </c>
      <c r="E24">
        <v>0.214779</v>
      </c>
      <c r="G24">
        <v>0.26358</v>
      </c>
      <c r="H24">
        <v>0.262382</v>
      </c>
    </row>
    <row r="25" spans="4:8">
      <c r="D25">
        <v>0.321308</v>
      </c>
      <c r="E25">
        <v>0.32171</v>
      </c>
      <c r="G25">
        <v>0.217195</v>
      </c>
      <c r="H25">
        <v>0.216192</v>
      </c>
    </row>
    <row r="26" spans="4:8">
      <c r="D26">
        <v>0.227931</v>
      </c>
      <c r="E26">
        <v>0.228026</v>
      </c>
      <c r="G26">
        <v>0.20456</v>
      </c>
      <c r="H26">
        <v>0.206333</v>
      </c>
    </row>
    <row r="27" spans="4:8">
      <c r="D27">
        <v>0.239317</v>
      </c>
      <c r="E27">
        <v>0.238875</v>
      </c>
      <c r="G27">
        <v>0.235082</v>
      </c>
      <c r="H27">
        <v>0.237441</v>
      </c>
    </row>
    <row r="28" spans="4:8">
      <c r="D28">
        <v>0.195118</v>
      </c>
      <c r="E28">
        <v>0.194496</v>
      </c>
      <c r="G28">
        <v>0.21513</v>
      </c>
      <c r="H28">
        <v>0.217275</v>
      </c>
    </row>
    <row r="29" spans="4:8">
      <c r="D29">
        <v>0.212304</v>
      </c>
      <c r="E29">
        <v>0.211765</v>
      </c>
      <c r="G29">
        <v>0.226425</v>
      </c>
      <c r="H29">
        <v>0.221769</v>
      </c>
    </row>
    <row r="30" spans="4:8">
      <c r="D30">
        <v>0.251378</v>
      </c>
      <c r="E30">
        <v>0.253033</v>
      </c>
      <c r="G30">
        <v>0.199993</v>
      </c>
      <c r="H30">
        <v>0.198994</v>
      </c>
    </row>
    <row r="31" spans="4:8">
      <c r="D31">
        <v>0.4569</v>
      </c>
      <c r="E31">
        <v>0.456587</v>
      </c>
      <c r="G31">
        <v>0.20533</v>
      </c>
      <c r="H31">
        <v>0.206129</v>
      </c>
    </row>
    <row r="32" spans="4:8">
      <c r="D32">
        <v>0.217098</v>
      </c>
      <c r="E32">
        <v>0.214663</v>
      </c>
      <c r="G32">
        <v>0.243758</v>
      </c>
      <c r="H32">
        <v>0.239904</v>
      </c>
    </row>
    <row r="33" spans="4:8">
      <c r="D33">
        <v>0.198583</v>
      </c>
      <c r="E33">
        <v>0.199502</v>
      </c>
      <c r="G33">
        <v>0.263274</v>
      </c>
      <c r="H33">
        <v>0.262619</v>
      </c>
    </row>
    <row r="34" spans="4:8">
      <c r="D34">
        <v>0.182451</v>
      </c>
      <c r="E34">
        <v>0.185371</v>
      </c>
      <c r="G34">
        <v>0.200006</v>
      </c>
      <c r="H34">
        <v>0.197844</v>
      </c>
    </row>
    <row r="35" spans="4:8">
      <c r="D35">
        <v>0.184092</v>
      </c>
      <c r="E35">
        <v>0.184048</v>
      </c>
      <c r="G35">
        <v>0.213184</v>
      </c>
      <c r="H35">
        <v>0.214329</v>
      </c>
    </row>
    <row r="36" spans="4:8">
      <c r="D36">
        <v>0.227421</v>
      </c>
      <c r="E36">
        <v>0.230318</v>
      </c>
      <c r="G36">
        <v>0.162796</v>
      </c>
      <c r="H36">
        <v>0.16216</v>
      </c>
    </row>
    <row r="37" spans="4:8">
      <c r="D37">
        <v>0.222999</v>
      </c>
      <c r="E37">
        <v>0.223884</v>
      </c>
      <c r="G37">
        <v>0.193517</v>
      </c>
      <c r="H37">
        <v>0.191148</v>
      </c>
    </row>
    <row r="38" spans="4:8">
      <c r="D38">
        <v>0.230677</v>
      </c>
      <c r="E38">
        <v>0.230602</v>
      </c>
      <c r="G38">
        <v>0.197158</v>
      </c>
      <c r="H38">
        <v>0.198052</v>
      </c>
    </row>
    <row r="39" spans="4:8">
      <c r="D39">
        <v>0.251651</v>
      </c>
      <c r="E39">
        <v>0.249977</v>
      </c>
      <c r="G39">
        <v>0.269224</v>
      </c>
      <c r="H39">
        <v>0.266933</v>
      </c>
    </row>
    <row r="40" spans="4:8">
      <c r="D40">
        <v>0.159387</v>
      </c>
      <c r="E40">
        <v>0.15918</v>
      </c>
      <c r="G40">
        <v>0.21183</v>
      </c>
      <c r="H40">
        <v>0.210976</v>
      </c>
    </row>
    <row r="41" spans="4:8">
      <c r="D41">
        <v>0.196967</v>
      </c>
      <c r="E41">
        <v>0.19659</v>
      </c>
      <c r="G41">
        <v>0.221239</v>
      </c>
      <c r="H41">
        <v>0.223388</v>
      </c>
    </row>
    <row r="42" spans="4:8">
      <c r="D42">
        <v>0.163486</v>
      </c>
      <c r="E42">
        <v>0.162818</v>
      </c>
      <c r="G42">
        <v>0.275451</v>
      </c>
      <c r="H42">
        <v>0.27614</v>
      </c>
    </row>
    <row r="43" spans="4:8">
      <c r="D43">
        <v>0.194864</v>
      </c>
      <c r="E43">
        <v>0.192526</v>
      </c>
      <c r="G43">
        <v>0.176827</v>
      </c>
      <c r="H43">
        <v>0.172643</v>
      </c>
    </row>
    <row r="44" spans="4:8">
      <c r="D44">
        <v>0.258423</v>
      </c>
      <c r="E44">
        <v>0.258735</v>
      </c>
      <c r="G44">
        <v>0.26486</v>
      </c>
      <c r="H44">
        <v>0.262844</v>
      </c>
    </row>
    <row r="45" spans="4:8">
      <c r="D45">
        <v>0.200703</v>
      </c>
      <c r="E45">
        <v>0.198719</v>
      </c>
      <c r="G45">
        <v>0.170314</v>
      </c>
      <c r="H45">
        <v>0.17109</v>
      </c>
    </row>
    <row r="46" spans="4:8">
      <c r="D46">
        <v>0.185734</v>
      </c>
      <c r="E46">
        <v>0.184602</v>
      </c>
      <c r="G46">
        <v>0.241473</v>
      </c>
      <c r="H46">
        <v>0.241707</v>
      </c>
    </row>
    <row r="47" spans="4:8">
      <c r="D47">
        <v>0.181933</v>
      </c>
      <c r="E47">
        <v>0.18156</v>
      </c>
      <c r="G47">
        <v>0.230207</v>
      </c>
      <c r="H47">
        <v>0.224926</v>
      </c>
    </row>
    <row r="48" spans="4:8">
      <c r="D48">
        <v>0.447315</v>
      </c>
      <c r="E48">
        <v>0.451755</v>
      </c>
      <c r="G48">
        <v>0.188109</v>
      </c>
      <c r="H48">
        <v>0.187155</v>
      </c>
    </row>
    <row r="49" spans="4:8">
      <c r="D49">
        <v>0.171749</v>
      </c>
      <c r="E49">
        <v>0.173701</v>
      </c>
      <c r="G49">
        <v>0.23294</v>
      </c>
      <c r="H49">
        <v>0.231256</v>
      </c>
    </row>
    <row r="50" spans="4:8">
      <c r="D50">
        <v>0.167407</v>
      </c>
      <c r="E50">
        <v>0.165474</v>
      </c>
      <c r="G50">
        <v>0.200136</v>
      </c>
      <c r="H50">
        <v>0.198807</v>
      </c>
    </row>
    <row r="51" spans="4:8">
      <c r="D51">
        <v>0.219747</v>
      </c>
      <c r="E51">
        <v>0.218836</v>
      </c>
      <c r="G51">
        <v>0.175938</v>
      </c>
      <c r="H51">
        <v>0.172877</v>
      </c>
    </row>
    <row r="52" spans="4:8">
      <c r="D52">
        <v>0.22632</v>
      </c>
      <c r="E52">
        <v>0.2265</v>
      </c>
      <c r="G52">
        <v>0.183431</v>
      </c>
      <c r="H52">
        <v>0.184238</v>
      </c>
    </row>
    <row r="53" spans="4:8">
      <c r="D53">
        <v>0.160409</v>
      </c>
      <c r="E53">
        <v>0.159143</v>
      </c>
      <c r="G53">
        <v>0.147439</v>
      </c>
      <c r="H53">
        <v>0.144709</v>
      </c>
    </row>
    <row r="54" spans="4:8">
      <c r="D54">
        <v>0.181256</v>
      </c>
      <c r="E54">
        <v>0.181523</v>
      </c>
      <c r="G54">
        <v>0.159796</v>
      </c>
      <c r="H54">
        <v>0.162439</v>
      </c>
    </row>
    <row r="55" spans="4:8">
      <c r="D55">
        <v>0.155422</v>
      </c>
      <c r="E55">
        <v>0.158017</v>
      </c>
      <c r="G55">
        <v>0.163809</v>
      </c>
      <c r="H55">
        <v>0.162385</v>
      </c>
    </row>
    <row r="56" spans="4:8">
      <c r="D56">
        <v>0.212671</v>
      </c>
      <c r="E56">
        <v>0.209066</v>
      </c>
      <c r="G56">
        <v>0.145597</v>
      </c>
      <c r="H56">
        <v>0.144387</v>
      </c>
    </row>
    <row r="57" spans="4:8">
      <c r="D57">
        <v>0.185735</v>
      </c>
      <c r="E57">
        <v>0.185551</v>
      </c>
      <c r="G57">
        <v>0.153729</v>
      </c>
      <c r="H57">
        <v>0.152025</v>
      </c>
    </row>
    <row r="58" spans="4:8">
      <c r="D58">
        <v>0.164327</v>
      </c>
      <c r="E58">
        <v>0.164367</v>
      </c>
      <c r="G58">
        <v>0.158743</v>
      </c>
      <c r="H58">
        <v>0.157575</v>
      </c>
    </row>
    <row r="59" spans="4:8">
      <c r="D59">
        <v>0.183693</v>
      </c>
      <c r="E59">
        <v>0.184669</v>
      </c>
      <c r="G59">
        <v>0.197736</v>
      </c>
      <c r="H59">
        <v>0.195997</v>
      </c>
    </row>
    <row r="60" spans="4:8">
      <c r="D60">
        <v>0.180496</v>
      </c>
      <c r="E60">
        <v>0.179914</v>
      </c>
      <c r="G60">
        <v>0.136187</v>
      </c>
      <c r="H60">
        <v>0.136236</v>
      </c>
    </row>
    <row r="61" spans="4:8">
      <c r="D61">
        <v>0.197709</v>
      </c>
      <c r="E61">
        <v>0.196749</v>
      </c>
      <c r="G61">
        <v>0.19647</v>
      </c>
      <c r="H61">
        <v>0.19846</v>
      </c>
    </row>
    <row r="62" spans="4:8">
      <c r="D62">
        <v>0.150671</v>
      </c>
      <c r="E62">
        <v>0.149767</v>
      </c>
      <c r="G62">
        <v>0.171316</v>
      </c>
      <c r="H62">
        <v>0.170759</v>
      </c>
    </row>
    <row r="63" spans="4:8">
      <c r="D63">
        <v>0.169139</v>
      </c>
      <c r="E63">
        <v>0.169588</v>
      </c>
      <c r="G63">
        <v>0.25105</v>
      </c>
      <c r="H63">
        <v>0.251908</v>
      </c>
    </row>
    <row r="64" spans="4:8">
      <c r="D64">
        <v>0.163217</v>
      </c>
      <c r="E64">
        <v>0.161491</v>
      </c>
      <c r="G64">
        <v>0.146775</v>
      </c>
      <c r="H64">
        <v>0.146965</v>
      </c>
    </row>
    <row r="65" spans="4:8">
      <c r="D65">
        <v>0.142129</v>
      </c>
      <c r="E65">
        <v>0.142679</v>
      </c>
      <c r="G65">
        <v>0.185286</v>
      </c>
      <c r="H65">
        <v>0.188216</v>
      </c>
    </row>
    <row r="66" spans="4:8">
      <c r="D66">
        <v>0.165294</v>
      </c>
      <c r="E66">
        <v>0.165155</v>
      </c>
      <c r="G66">
        <v>0.150837</v>
      </c>
      <c r="H66">
        <v>0.14935</v>
      </c>
    </row>
    <row r="67" spans="4:8">
      <c r="D67">
        <v>0.217607</v>
      </c>
      <c r="E67">
        <v>0.216376</v>
      </c>
      <c r="G67">
        <v>0.179202</v>
      </c>
      <c r="H67">
        <v>0.175944</v>
      </c>
    </row>
    <row r="68" spans="4:8">
      <c r="D68">
        <v>0.14643</v>
      </c>
      <c r="E68">
        <v>0.14575</v>
      </c>
      <c r="G68">
        <v>0.183629</v>
      </c>
      <c r="H68">
        <v>0.179301</v>
      </c>
    </row>
    <row r="69" spans="4:8">
      <c r="D69">
        <v>0.139586</v>
      </c>
      <c r="E69">
        <v>0.137811</v>
      </c>
      <c r="G69">
        <v>0.146956</v>
      </c>
      <c r="H69">
        <v>0.14886</v>
      </c>
    </row>
    <row r="70" spans="4:8">
      <c r="D70">
        <v>0.170211</v>
      </c>
      <c r="E70">
        <v>0.168654</v>
      </c>
      <c r="G70">
        <v>0.191295</v>
      </c>
      <c r="H70">
        <v>0.190673</v>
      </c>
    </row>
    <row r="71" spans="4:8">
      <c r="D71">
        <v>0.358327</v>
      </c>
      <c r="E71">
        <v>0.36305</v>
      </c>
      <c r="G71">
        <v>0.148654</v>
      </c>
      <c r="H71">
        <v>0.146843</v>
      </c>
    </row>
    <row r="72" spans="4:8">
      <c r="D72">
        <v>0.175492</v>
      </c>
      <c r="E72">
        <v>0.175111</v>
      </c>
      <c r="G72">
        <v>0.170505</v>
      </c>
      <c r="H72">
        <v>0.168952</v>
      </c>
    </row>
    <row r="73" spans="4:8">
      <c r="D73">
        <v>0.155011</v>
      </c>
      <c r="E73">
        <v>0.153339</v>
      </c>
      <c r="G73">
        <v>0.136923</v>
      </c>
      <c r="H73">
        <v>0.134767</v>
      </c>
    </row>
    <row r="74" spans="4:8">
      <c r="D74">
        <v>0.148496</v>
      </c>
      <c r="E74">
        <v>0.14696</v>
      </c>
      <c r="G74">
        <v>0.152147</v>
      </c>
      <c r="H74">
        <v>0.151525</v>
      </c>
    </row>
    <row r="75" spans="4:8">
      <c r="D75">
        <v>0.157823</v>
      </c>
      <c r="E75">
        <v>0.15806</v>
      </c>
      <c r="G75">
        <v>0.14056</v>
      </c>
      <c r="H75">
        <v>0.140297</v>
      </c>
    </row>
    <row r="76" spans="4:8">
      <c r="D76">
        <v>0.138694</v>
      </c>
      <c r="E76">
        <v>0.136595</v>
      </c>
      <c r="G76">
        <v>0.147427</v>
      </c>
      <c r="H76">
        <v>0.146982</v>
      </c>
    </row>
    <row r="77" spans="4:8">
      <c r="D77">
        <v>0.155786</v>
      </c>
      <c r="E77">
        <v>0.153446</v>
      </c>
      <c r="G77">
        <v>0.299228</v>
      </c>
      <c r="H77">
        <v>0.307398</v>
      </c>
    </row>
    <row r="78" spans="4:8">
      <c r="D78">
        <v>0.136106</v>
      </c>
      <c r="E78">
        <v>0.137382</v>
      </c>
      <c r="G78">
        <v>0.166443</v>
      </c>
      <c r="H78">
        <v>0.167409</v>
      </c>
    </row>
    <row r="79" spans="4:8">
      <c r="D79">
        <v>0.149575</v>
      </c>
      <c r="E79">
        <v>0.149245</v>
      </c>
      <c r="G79">
        <v>0.152445</v>
      </c>
      <c r="H79">
        <v>0.149921</v>
      </c>
    </row>
    <row r="80" spans="4:8">
      <c r="D80">
        <v>0.162307</v>
      </c>
      <c r="E80">
        <v>0.159717</v>
      </c>
      <c r="G80">
        <v>0.156272</v>
      </c>
      <c r="H80">
        <v>0.156805</v>
      </c>
    </row>
    <row r="81" spans="4:8">
      <c r="D81">
        <v>0.135434</v>
      </c>
      <c r="E81">
        <v>0.132806</v>
      </c>
      <c r="G81">
        <v>0.122175</v>
      </c>
      <c r="H81">
        <v>0.123249</v>
      </c>
    </row>
    <row r="82" spans="4:8">
      <c r="D82">
        <v>0.175532</v>
      </c>
      <c r="E82">
        <v>0.174428</v>
      </c>
      <c r="G82">
        <v>0.13261</v>
      </c>
      <c r="H82">
        <v>0.132048</v>
      </c>
    </row>
    <row r="83" spans="4:8">
      <c r="D83">
        <v>0.131485</v>
      </c>
      <c r="E83">
        <v>0.129706</v>
      </c>
      <c r="G83">
        <v>0.142087</v>
      </c>
      <c r="H83">
        <v>0.140425</v>
      </c>
    </row>
    <row r="84" spans="4:8">
      <c r="D84">
        <v>0.159187</v>
      </c>
      <c r="E84">
        <v>0.158851</v>
      </c>
      <c r="G84">
        <v>0.133414</v>
      </c>
      <c r="H84">
        <v>0.131488</v>
      </c>
    </row>
    <row r="85" spans="4:8">
      <c r="D85">
        <v>0.145993</v>
      </c>
      <c r="E85">
        <v>0.146284</v>
      </c>
      <c r="G85">
        <v>0.138843</v>
      </c>
      <c r="H85">
        <v>0.13709</v>
      </c>
    </row>
    <row r="86" spans="4:8">
      <c r="D86">
        <v>0.145139</v>
      </c>
      <c r="E86">
        <v>0.144026</v>
      </c>
      <c r="G86">
        <v>0.137501</v>
      </c>
      <c r="H86">
        <v>0.138172</v>
      </c>
    </row>
    <row r="87" spans="4:8">
      <c r="D87">
        <v>0.13747</v>
      </c>
      <c r="E87">
        <v>0.137414</v>
      </c>
      <c r="G87">
        <v>0.205369</v>
      </c>
      <c r="H87">
        <v>0.201711</v>
      </c>
    </row>
    <row r="88" spans="4:8">
      <c r="D88">
        <v>0.150298</v>
      </c>
      <c r="E88">
        <v>0.149329</v>
      </c>
      <c r="G88">
        <v>0.140628</v>
      </c>
      <c r="H88">
        <v>0.137399</v>
      </c>
    </row>
    <row r="89" spans="4:8">
      <c r="D89">
        <v>0.139783</v>
      </c>
      <c r="E89">
        <v>0.13964</v>
      </c>
      <c r="G89">
        <v>0.138814</v>
      </c>
      <c r="H89">
        <v>0.136229</v>
      </c>
    </row>
    <row r="90" spans="4:8">
      <c r="D90">
        <v>0.151299</v>
      </c>
      <c r="E90">
        <v>0.158465</v>
      </c>
      <c r="G90">
        <v>0.157194</v>
      </c>
      <c r="H90">
        <v>0.162015</v>
      </c>
    </row>
    <row r="91" spans="4:8">
      <c r="D91">
        <v>0.136979</v>
      </c>
      <c r="E91">
        <v>0.138811</v>
      </c>
      <c r="G91">
        <v>0.144328</v>
      </c>
      <c r="H91">
        <v>0.143772</v>
      </c>
    </row>
    <row r="92" spans="4:8">
      <c r="D92">
        <v>0.185273</v>
      </c>
      <c r="E92">
        <v>0.183199</v>
      </c>
      <c r="G92">
        <v>0.127462</v>
      </c>
      <c r="H92">
        <v>0.126741</v>
      </c>
    </row>
    <row r="93" spans="4:8">
      <c r="D93">
        <v>0.194733</v>
      </c>
      <c r="E93">
        <v>0.192698</v>
      </c>
      <c r="G93">
        <v>0.144527</v>
      </c>
      <c r="H93">
        <v>0.143236</v>
      </c>
    </row>
    <row r="94" spans="4:8">
      <c r="D94">
        <v>0.172642</v>
      </c>
      <c r="E94">
        <v>0.172571</v>
      </c>
      <c r="G94">
        <v>0.130992</v>
      </c>
      <c r="H94">
        <v>0.129147</v>
      </c>
    </row>
    <row r="95" spans="4:8">
      <c r="D95">
        <v>0.139819</v>
      </c>
      <c r="E95">
        <v>0.139093</v>
      </c>
      <c r="G95">
        <v>0.212879</v>
      </c>
      <c r="H95">
        <v>0.210424</v>
      </c>
    </row>
    <row r="96" spans="4:8">
      <c r="D96">
        <v>0.156369</v>
      </c>
      <c r="E96">
        <v>0.154434</v>
      </c>
      <c r="G96">
        <v>0.135952</v>
      </c>
      <c r="H96">
        <v>0.135017</v>
      </c>
    </row>
    <row r="97" spans="4:8">
      <c r="D97">
        <v>0.139503</v>
      </c>
      <c r="E97">
        <v>0.139535</v>
      </c>
      <c r="G97">
        <v>0.132745</v>
      </c>
      <c r="H97">
        <v>0.133157</v>
      </c>
    </row>
    <row r="98" spans="4:8">
      <c r="D98">
        <v>0.139186</v>
      </c>
      <c r="E98">
        <v>0.136734</v>
      </c>
      <c r="G98">
        <v>0.179289</v>
      </c>
      <c r="H98">
        <v>0.177052</v>
      </c>
    </row>
    <row r="99" spans="4:8">
      <c r="D99">
        <v>0.141003</v>
      </c>
      <c r="E99">
        <v>0.138829</v>
      </c>
      <c r="G99">
        <v>0.186664</v>
      </c>
      <c r="H99">
        <v>0.184213</v>
      </c>
    </row>
    <row r="100" spans="4:8">
      <c r="D100">
        <v>0.143577</v>
      </c>
      <c r="E100">
        <v>0.144109</v>
      </c>
      <c r="G100">
        <v>0.167394</v>
      </c>
      <c r="H100">
        <v>0.167473</v>
      </c>
    </row>
    <row r="101" spans="4:8">
      <c r="D101">
        <v>0.146459</v>
      </c>
      <c r="E101">
        <v>0.148067</v>
      </c>
      <c r="G101">
        <v>0.164691</v>
      </c>
      <c r="H101">
        <v>0.163514</v>
      </c>
    </row>
    <row r="102" spans="4:8">
      <c r="D102">
        <v>0.132982</v>
      </c>
      <c r="E102">
        <v>0.133506</v>
      </c>
      <c r="G102">
        <v>0.137579</v>
      </c>
      <c r="H102">
        <v>0.137285</v>
      </c>
    </row>
    <row r="103" spans="4:8">
      <c r="D103">
        <v>0.147369</v>
      </c>
      <c r="E103">
        <v>0.145934</v>
      </c>
      <c r="G103">
        <v>0.140023</v>
      </c>
      <c r="H103">
        <v>0.138866</v>
      </c>
    </row>
    <row r="104" spans="4:8">
      <c r="D104">
        <v>0.206571</v>
      </c>
      <c r="E104">
        <v>0.204378</v>
      </c>
      <c r="G104">
        <v>0.157694</v>
      </c>
      <c r="H104">
        <v>0.155541</v>
      </c>
    </row>
    <row r="105" spans="4:8">
      <c r="D105">
        <v>0.136816</v>
      </c>
      <c r="E105">
        <v>0.134373</v>
      </c>
      <c r="G105">
        <v>0.158784</v>
      </c>
      <c r="H105">
        <v>0.157463</v>
      </c>
    </row>
    <row r="106" spans="4:8">
      <c r="D106">
        <v>0.292304</v>
      </c>
      <c r="E106">
        <v>0.296464</v>
      </c>
      <c r="G106">
        <v>0.150013</v>
      </c>
      <c r="H106">
        <v>0.149029</v>
      </c>
    </row>
    <row r="107" spans="4:8">
      <c r="D107">
        <v>0.131715</v>
      </c>
      <c r="E107">
        <v>0.129758</v>
      </c>
      <c r="G107">
        <v>0.139325</v>
      </c>
      <c r="H107">
        <v>0.138168</v>
      </c>
    </row>
    <row r="108" spans="4:8">
      <c r="D108">
        <v>0.132095</v>
      </c>
      <c r="E108">
        <v>0.133139</v>
      </c>
      <c r="G108">
        <v>0.12743</v>
      </c>
      <c r="H108">
        <v>0.125723</v>
      </c>
    </row>
    <row r="109" spans="4:8">
      <c r="D109">
        <v>0.125836</v>
      </c>
      <c r="E109">
        <v>0.125609</v>
      </c>
      <c r="G109">
        <v>0.12291</v>
      </c>
      <c r="H109">
        <v>0.123189</v>
      </c>
    </row>
    <row r="110" spans="4:8">
      <c r="D110">
        <v>0.137335</v>
      </c>
      <c r="E110">
        <v>0.134774</v>
      </c>
      <c r="G110">
        <v>0.125248</v>
      </c>
      <c r="H110">
        <v>0.121453</v>
      </c>
    </row>
    <row r="111" spans="4:8">
      <c r="D111">
        <v>0.132798</v>
      </c>
      <c r="E111">
        <v>0.132649</v>
      </c>
      <c r="G111">
        <v>0.141662</v>
      </c>
      <c r="H111">
        <v>0.137783</v>
      </c>
    </row>
    <row r="112" spans="4:8">
      <c r="D112">
        <v>0.142693</v>
      </c>
      <c r="E112">
        <v>0.139107</v>
      </c>
      <c r="G112">
        <v>0.150677</v>
      </c>
      <c r="H112">
        <v>0.14984</v>
      </c>
    </row>
    <row r="113" spans="4:8">
      <c r="D113">
        <v>0.131979</v>
      </c>
      <c r="E113">
        <v>0.128777</v>
      </c>
      <c r="G113">
        <v>0.136615</v>
      </c>
      <c r="H113">
        <v>0.134491</v>
      </c>
    </row>
    <row r="114" spans="4:8">
      <c r="D114">
        <v>0.160423</v>
      </c>
      <c r="E114">
        <v>0.159756</v>
      </c>
      <c r="G114">
        <v>0.134712</v>
      </c>
      <c r="H114">
        <v>0.134148</v>
      </c>
    </row>
    <row r="115" spans="4:8">
      <c r="D115">
        <v>0.149545</v>
      </c>
      <c r="E115">
        <v>0.148452</v>
      </c>
      <c r="G115">
        <v>0.130631</v>
      </c>
      <c r="H115">
        <v>0.127131</v>
      </c>
    </row>
    <row r="116" spans="4:8">
      <c r="D116">
        <v>0.130744</v>
      </c>
      <c r="E116">
        <v>0.128156</v>
      </c>
      <c r="G116">
        <v>0.118882</v>
      </c>
      <c r="H116">
        <v>0.118638</v>
      </c>
    </row>
    <row r="117" spans="4:8">
      <c r="D117">
        <v>0.123265</v>
      </c>
      <c r="E117">
        <v>0.121869</v>
      </c>
      <c r="G117">
        <v>0.132369</v>
      </c>
      <c r="H117">
        <v>0.131177</v>
      </c>
    </row>
    <row r="118" spans="4:8">
      <c r="D118">
        <v>0.123234</v>
      </c>
      <c r="E118">
        <v>0.120572</v>
      </c>
      <c r="G118">
        <v>0.12342</v>
      </c>
      <c r="H118">
        <v>0.12076</v>
      </c>
    </row>
    <row r="119" spans="4:8">
      <c r="D119">
        <v>0.125549</v>
      </c>
      <c r="E119">
        <v>0.123105</v>
      </c>
      <c r="G119">
        <v>0.118648</v>
      </c>
      <c r="H119">
        <v>0.117429</v>
      </c>
    </row>
    <row r="120" spans="4:8">
      <c r="D120">
        <v>0.137008</v>
      </c>
      <c r="E120">
        <v>0.136137</v>
      </c>
      <c r="G120">
        <v>0.131876</v>
      </c>
      <c r="H120">
        <v>0.131159</v>
      </c>
    </row>
    <row r="121" spans="4:8">
      <c r="D121">
        <v>0.14083</v>
      </c>
      <c r="E121">
        <v>0.141732</v>
      </c>
      <c r="G121">
        <v>0.155697</v>
      </c>
      <c r="H121">
        <v>0.154184</v>
      </c>
    </row>
    <row r="122" spans="4:8">
      <c r="D122">
        <v>0.132691</v>
      </c>
      <c r="E122">
        <v>0.1316</v>
      </c>
      <c r="G122">
        <v>0.123411</v>
      </c>
      <c r="H122">
        <v>0.123023</v>
      </c>
    </row>
    <row r="123" spans="4:8">
      <c r="D123">
        <v>0.135189</v>
      </c>
      <c r="E123">
        <v>0.136444</v>
      </c>
      <c r="G123">
        <v>0.145695</v>
      </c>
      <c r="H123">
        <v>0.142391</v>
      </c>
    </row>
    <row r="124" spans="4:8">
      <c r="D124">
        <v>0.136391</v>
      </c>
      <c r="E124">
        <v>0.137016</v>
      </c>
      <c r="G124">
        <v>0.120127</v>
      </c>
      <c r="H124">
        <v>0.119315</v>
      </c>
    </row>
    <row r="125" spans="4:8">
      <c r="D125">
        <v>0.15289</v>
      </c>
      <c r="E125">
        <v>0.151118</v>
      </c>
      <c r="G125">
        <v>0.119329</v>
      </c>
      <c r="H125">
        <v>0.118398</v>
      </c>
    </row>
    <row r="126" spans="4:8">
      <c r="D126">
        <v>0.124377</v>
      </c>
      <c r="E126">
        <v>0.12422</v>
      </c>
      <c r="G126">
        <v>0.120843</v>
      </c>
      <c r="H126">
        <v>0.12009</v>
      </c>
    </row>
    <row r="127" spans="4:8">
      <c r="D127">
        <v>0.118118</v>
      </c>
      <c r="E127">
        <v>0.117292</v>
      </c>
      <c r="G127">
        <v>0.175985</v>
      </c>
      <c r="H127">
        <v>0.173922</v>
      </c>
    </row>
    <row r="128" spans="4:8">
      <c r="D128">
        <v>0.158468</v>
      </c>
      <c r="E128">
        <v>0.159663</v>
      </c>
      <c r="G128">
        <v>0.11618</v>
      </c>
      <c r="H128">
        <v>0.114514</v>
      </c>
    </row>
    <row r="129" spans="4:8">
      <c r="D129">
        <v>0.125917</v>
      </c>
      <c r="E129">
        <v>0.124087</v>
      </c>
      <c r="G129">
        <v>0.118161</v>
      </c>
      <c r="H129">
        <v>0.118626</v>
      </c>
    </row>
    <row r="130" spans="4:8">
      <c r="D130">
        <v>0.12588</v>
      </c>
      <c r="E130">
        <v>0.125492</v>
      </c>
      <c r="G130">
        <v>0.129642</v>
      </c>
      <c r="H130">
        <v>0.127161</v>
      </c>
    </row>
    <row r="131" spans="4:8">
      <c r="D131">
        <v>0.132073</v>
      </c>
      <c r="E131">
        <v>0.132542</v>
      </c>
      <c r="G131">
        <v>0.133593</v>
      </c>
      <c r="H131">
        <v>0.131015</v>
      </c>
    </row>
    <row r="132" spans="4:8">
      <c r="D132">
        <v>0.112154</v>
      </c>
      <c r="E132">
        <v>0.111111</v>
      </c>
      <c r="G132">
        <v>0.123889</v>
      </c>
      <c r="H132">
        <v>0.120878</v>
      </c>
    </row>
    <row r="133" spans="4:8">
      <c r="D133">
        <v>0.142864</v>
      </c>
      <c r="E133">
        <v>0.139155</v>
      </c>
      <c r="G133">
        <v>0.129958</v>
      </c>
      <c r="H133">
        <v>0.129309</v>
      </c>
    </row>
    <row r="134" spans="4:8">
      <c r="D134">
        <v>0.125886</v>
      </c>
      <c r="E134">
        <v>0.124807</v>
      </c>
      <c r="G134">
        <v>0.119004</v>
      </c>
      <c r="H134">
        <v>0.115588</v>
      </c>
    </row>
    <row r="135" spans="4:8">
      <c r="D135">
        <v>0.125513</v>
      </c>
      <c r="E135">
        <v>0.125393</v>
      </c>
      <c r="G135">
        <v>0.128435</v>
      </c>
      <c r="H135">
        <v>0.126452</v>
      </c>
    </row>
    <row r="136" spans="4:8">
      <c r="D136">
        <v>0.143203</v>
      </c>
      <c r="E136">
        <v>0.14194</v>
      </c>
      <c r="G136">
        <v>0.118237</v>
      </c>
      <c r="H136">
        <v>0.114937</v>
      </c>
    </row>
    <row r="137" spans="4:8">
      <c r="D137">
        <v>0.160251</v>
      </c>
      <c r="E137">
        <v>0.162614</v>
      </c>
      <c r="G137">
        <v>0.126599</v>
      </c>
      <c r="H137">
        <v>0.123495</v>
      </c>
    </row>
    <row r="138" spans="4:8">
      <c r="D138">
        <v>0.130462</v>
      </c>
      <c r="E138">
        <v>0.129941</v>
      </c>
      <c r="G138">
        <v>0.157536</v>
      </c>
      <c r="H138">
        <v>0.154508</v>
      </c>
    </row>
    <row r="139" spans="4:8">
      <c r="D139">
        <v>0.136156</v>
      </c>
      <c r="E139">
        <v>0.13384</v>
      </c>
      <c r="G139">
        <v>0.135807</v>
      </c>
      <c r="H139">
        <v>0.131408</v>
      </c>
    </row>
    <row r="140" spans="4:8">
      <c r="D140">
        <v>0.226164</v>
      </c>
      <c r="E140">
        <v>0.224106</v>
      </c>
      <c r="G140">
        <v>0.121287</v>
      </c>
      <c r="H140">
        <v>0.119831</v>
      </c>
    </row>
    <row r="141" spans="4:8">
      <c r="D141">
        <v>0.1211</v>
      </c>
      <c r="E141">
        <v>0.120225</v>
      </c>
      <c r="G141">
        <v>0.140946</v>
      </c>
      <c r="H141">
        <v>0.138264</v>
      </c>
    </row>
    <row r="142" spans="4:8">
      <c r="D142">
        <v>0.130323</v>
      </c>
      <c r="E142">
        <v>0.130083</v>
      </c>
      <c r="G142">
        <v>0.133256</v>
      </c>
      <c r="H142">
        <v>0.135113</v>
      </c>
    </row>
    <row r="143" spans="4:8">
      <c r="D143">
        <v>0.125669</v>
      </c>
      <c r="E143">
        <v>0.124794</v>
      </c>
      <c r="G143">
        <v>0.117724</v>
      </c>
      <c r="H143">
        <v>0.116828</v>
      </c>
    </row>
    <row r="144" spans="4:8">
      <c r="D144">
        <v>0.144325</v>
      </c>
      <c r="E144">
        <v>0.142122</v>
      </c>
      <c r="G144">
        <v>0.11091</v>
      </c>
      <c r="H144">
        <v>0.107271</v>
      </c>
    </row>
    <row r="145" spans="4:8">
      <c r="D145">
        <v>0.11772</v>
      </c>
      <c r="E145">
        <v>0.116449</v>
      </c>
      <c r="G145">
        <v>0.124584</v>
      </c>
      <c r="H145">
        <v>0.123117</v>
      </c>
    </row>
    <row r="146" spans="4:8">
      <c r="D146">
        <v>0.118665</v>
      </c>
      <c r="E146">
        <v>0.115299</v>
      </c>
      <c r="G146">
        <v>0.120635</v>
      </c>
      <c r="H146">
        <v>0.119252</v>
      </c>
    </row>
    <row r="147" spans="4:8">
      <c r="D147">
        <v>0.123618</v>
      </c>
      <c r="E147">
        <v>0.119548</v>
      </c>
      <c r="G147">
        <v>0.110373</v>
      </c>
      <c r="H147">
        <v>0.109103</v>
      </c>
    </row>
    <row r="148" spans="4:8">
      <c r="D148">
        <v>0.124518</v>
      </c>
      <c r="E148">
        <v>0.123671</v>
      </c>
      <c r="G148">
        <v>0.116908</v>
      </c>
      <c r="H148">
        <v>0.115376</v>
      </c>
    </row>
    <row r="149" spans="4:8">
      <c r="D149">
        <v>0.161996</v>
      </c>
      <c r="E149">
        <v>0.158891</v>
      </c>
      <c r="G149">
        <v>0.128106</v>
      </c>
      <c r="H149">
        <v>0.126303</v>
      </c>
    </row>
    <row r="150" spans="4:8">
      <c r="D150">
        <v>0.115611</v>
      </c>
      <c r="E150">
        <v>0.114405</v>
      </c>
      <c r="G150">
        <v>0.130332</v>
      </c>
      <c r="H150">
        <v>0.128209</v>
      </c>
    </row>
    <row r="151" spans="4:8">
      <c r="D151">
        <v>0.130062</v>
      </c>
      <c r="E151">
        <v>0.129242</v>
      </c>
      <c r="G151">
        <v>0.126696</v>
      </c>
      <c r="H151">
        <v>0.123562</v>
      </c>
    </row>
    <row r="152" spans="4:8">
      <c r="D152">
        <v>0.14039</v>
      </c>
      <c r="E152">
        <v>0.142042</v>
      </c>
      <c r="G152">
        <v>0.132659</v>
      </c>
      <c r="H152">
        <v>0.129722</v>
      </c>
    </row>
    <row r="153" spans="4:8">
      <c r="D153">
        <v>0.141495</v>
      </c>
      <c r="E153">
        <v>0.138393</v>
      </c>
      <c r="G153">
        <v>0.124035</v>
      </c>
      <c r="H153">
        <v>0.121377</v>
      </c>
    </row>
    <row r="154" spans="4:8">
      <c r="D154">
        <v>0.12965</v>
      </c>
      <c r="E154">
        <v>0.128269</v>
      </c>
      <c r="G154">
        <v>0.120224</v>
      </c>
      <c r="H154">
        <v>0.117258</v>
      </c>
    </row>
    <row r="155" spans="4:8">
      <c r="D155">
        <v>0.129566</v>
      </c>
      <c r="E155">
        <v>0.130889</v>
      </c>
      <c r="G155">
        <v>0.109767</v>
      </c>
      <c r="H155">
        <v>0.106784</v>
      </c>
    </row>
    <row r="156" spans="4:8">
      <c r="D156">
        <v>0.138218</v>
      </c>
      <c r="E156">
        <v>0.135838</v>
      </c>
      <c r="G156">
        <v>0.126269</v>
      </c>
      <c r="H156">
        <v>0.123341</v>
      </c>
    </row>
    <row r="157" spans="4:8">
      <c r="D157">
        <v>0.121821</v>
      </c>
      <c r="E157">
        <v>0.118624</v>
      </c>
      <c r="G157">
        <v>0.126612</v>
      </c>
      <c r="H157">
        <v>0.122116</v>
      </c>
    </row>
    <row r="158" spans="4:8">
      <c r="D158">
        <v>0.115587</v>
      </c>
      <c r="E158">
        <v>0.116127</v>
      </c>
      <c r="G158">
        <v>0.13014</v>
      </c>
      <c r="H158">
        <v>0.129933</v>
      </c>
    </row>
    <row r="159" spans="4:8">
      <c r="D159">
        <v>0.140089</v>
      </c>
      <c r="E159">
        <v>0.137132</v>
      </c>
      <c r="G159">
        <v>0.120265</v>
      </c>
      <c r="H159">
        <v>0.117316</v>
      </c>
    </row>
    <row r="160" spans="4:8">
      <c r="D160">
        <v>0.118068</v>
      </c>
      <c r="E160">
        <v>0.117773</v>
      </c>
      <c r="G160">
        <v>0.120267</v>
      </c>
      <c r="H160">
        <v>0.118446</v>
      </c>
    </row>
    <row r="161" spans="4:8">
      <c r="D161">
        <v>0.116884</v>
      </c>
      <c r="E161">
        <v>0.116526</v>
      </c>
      <c r="G161">
        <v>0.111278</v>
      </c>
      <c r="H161">
        <v>0.108807</v>
      </c>
    </row>
    <row r="162" spans="4:8">
      <c r="D162">
        <v>0.122045</v>
      </c>
      <c r="E162">
        <v>0.118466</v>
      </c>
      <c r="G162">
        <v>0.118345</v>
      </c>
      <c r="H162">
        <v>0.115128</v>
      </c>
    </row>
    <row r="163" spans="4:8">
      <c r="D163">
        <v>0.11168</v>
      </c>
      <c r="E163">
        <v>0.11034</v>
      </c>
      <c r="G163">
        <v>0.117602</v>
      </c>
      <c r="H163">
        <v>0.116085</v>
      </c>
    </row>
    <row r="164" spans="4:8">
      <c r="D164">
        <v>0.116263</v>
      </c>
      <c r="E164">
        <v>0.114088</v>
      </c>
      <c r="G164">
        <v>0.11667</v>
      </c>
      <c r="H164">
        <v>0.114655</v>
      </c>
    </row>
    <row r="165" spans="4:8">
      <c r="D165">
        <v>0.118332</v>
      </c>
      <c r="E165">
        <v>0.117061</v>
      </c>
      <c r="G165">
        <v>0.114515</v>
      </c>
      <c r="H165">
        <v>0.111808</v>
      </c>
    </row>
    <row r="166" spans="4:8">
      <c r="D166">
        <v>0.114796</v>
      </c>
      <c r="E166">
        <v>0.114663</v>
      </c>
      <c r="G166">
        <v>0.116441</v>
      </c>
      <c r="H166">
        <v>0.117168</v>
      </c>
    </row>
    <row r="167" spans="4:8">
      <c r="D167">
        <v>0.138211</v>
      </c>
      <c r="E167">
        <v>0.136826</v>
      </c>
      <c r="G167">
        <v>0.124651</v>
      </c>
      <c r="H167">
        <v>0.12452</v>
      </c>
    </row>
    <row r="168" spans="4:8">
      <c r="D168">
        <v>0.108067</v>
      </c>
      <c r="E168">
        <v>0.106312</v>
      </c>
      <c r="G168">
        <v>0.109014</v>
      </c>
      <c r="H168">
        <v>0.105536</v>
      </c>
    </row>
    <row r="169" spans="4:8">
      <c r="D169">
        <v>0.120681</v>
      </c>
      <c r="E169">
        <v>0.117645</v>
      </c>
      <c r="G169">
        <v>0.122933</v>
      </c>
      <c r="H169">
        <v>0.121404</v>
      </c>
    </row>
    <row r="170" spans="4:8">
      <c r="D170">
        <v>0.134641</v>
      </c>
      <c r="E170">
        <v>0.129777</v>
      </c>
      <c r="G170">
        <v>0.105156</v>
      </c>
      <c r="H170">
        <v>0.101803</v>
      </c>
    </row>
    <row r="171" spans="4:8">
      <c r="D171">
        <v>0.112078</v>
      </c>
      <c r="E171">
        <v>0.110505</v>
      </c>
      <c r="G171">
        <v>0.115171</v>
      </c>
      <c r="H171">
        <v>0.113251</v>
      </c>
    </row>
    <row r="172" spans="4:8">
      <c r="D172">
        <v>0.111388</v>
      </c>
      <c r="E172">
        <v>0.109915</v>
      </c>
      <c r="G172">
        <v>0.115482</v>
      </c>
      <c r="H172">
        <v>0.111424</v>
      </c>
    </row>
    <row r="173" spans="4:8">
      <c r="D173">
        <v>0.116194</v>
      </c>
      <c r="E173">
        <v>0.113057</v>
      </c>
      <c r="G173">
        <v>0.109707</v>
      </c>
      <c r="H173">
        <v>0.1056</v>
      </c>
    </row>
    <row r="174" spans="4:8">
      <c r="D174">
        <v>0.110735</v>
      </c>
      <c r="E174">
        <v>0.108129</v>
      </c>
      <c r="G174">
        <v>0.129638</v>
      </c>
      <c r="H174">
        <v>0.128036</v>
      </c>
    </row>
    <row r="175" spans="4:8">
      <c r="D175">
        <v>0.130956</v>
      </c>
      <c r="E175">
        <v>0.130304</v>
      </c>
      <c r="G175">
        <v>0.145531</v>
      </c>
      <c r="H175">
        <v>0.143899</v>
      </c>
    </row>
    <row r="176" spans="4:8">
      <c r="D176">
        <v>0.124978</v>
      </c>
      <c r="E176">
        <v>0.120443</v>
      </c>
      <c r="G176">
        <v>0.129027</v>
      </c>
      <c r="H176">
        <v>0.127051</v>
      </c>
    </row>
    <row r="177" spans="4:8">
      <c r="D177">
        <v>0.131981</v>
      </c>
      <c r="E177">
        <v>0.132807</v>
      </c>
      <c r="G177">
        <v>0.110146</v>
      </c>
      <c r="H177">
        <v>0.107846</v>
      </c>
    </row>
    <row r="178" spans="4:8">
      <c r="D178">
        <v>0.112032</v>
      </c>
      <c r="E178">
        <v>0.110958</v>
      </c>
      <c r="G178">
        <v>0.122115</v>
      </c>
      <c r="H178">
        <v>0.118832</v>
      </c>
    </row>
    <row r="179" spans="4:8">
      <c r="D179">
        <v>0.122377</v>
      </c>
      <c r="E179">
        <v>0.120671</v>
      </c>
      <c r="G179">
        <v>0.132587</v>
      </c>
      <c r="H179">
        <v>0.13241</v>
      </c>
    </row>
    <row r="180" spans="4:8">
      <c r="D180">
        <v>0.117704</v>
      </c>
      <c r="E180">
        <v>0.114893</v>
      </c>
      <c r="G180">
        <v>0.132338</v>
      </c>
      <c r="H180">
        <v>0.130055</v>
      </c>
    </row>
    <row r="181" spans="4:8">
      <c r="D181">
        <v>0.113691</v>
      </c>
      <c r="E181">
        <v>0.112216</v>
      </c>
      <c r="G181">
        <v>0.122533</v>
      </c>
      <c r="H181">
        <v>0.120142</v>
      </c>
    </row>
    <row r="182" spans="4:8">
      <c r="D182">
        <v>0.106402</v>
      </c>
      <c r="E182">
        <v>0.103911</v>
      </c>
      <c r="G182">
        <v>0.115616</v>
      </c>
      <c r="H182">
        <v>0.111547</v>
      </c>
    </row>
    <row r="183" spans="4:8">
      <c r="D183">
        <v>0.110131</v>
      </c>
      <c r="E183">
        <v>0.108592</v>
      </c>
      <c r="G183">
        <v>0.108713</v>
      </c>
      <c r="H183">
        <v>0.107001</v>
      </c>
    </row>
    <row r="184" spans="4:8">
      <c r="D184">
        <v>0.105639</v>
      </c>
      <c r="E184">
        <v>0.103556</v>
      </c>
      <c r="G184">
        <v>0.125204</v>
      </c>
      <c r="H184">
        <v>0.122708</v>
      </c>
    </row>
    <row r="185" spans="4:8">
      <c r="D185">
        <v>0.166085</v>
      </c>
      <c r="E185">
        <v>0.161908</v>
      </c>
      <c r="G185">
        <v>0.126307</v>
      </c>
      <c r="H185">
        <v>0.123962</v>
      </c>
    </row>
    <row r="186" spans="4:8">
      <c r="D186">
        <v>0.117537</v>
      </c>
      <c r="E186">
        <v>0.117187</v>
      </c>
      <c r="G186">
        <v>0.108162</v>
      </c>
      <c r="H186">
        <v>0.107455</v>
      </c>
    </row>
    <row r="187" spans="4:8">
      <c r="D187">
        <v>0.12001</v>
      </c>
      <c r="E187">
        <v>0.119467</v>
      </c>
      <c r="G187">
        <v>0.121592</v>
      </c>
      <c r="H187">
        <v>0.1196</v>
      </c>
    </row>
    <row r="188" spans="4:8">
      <c r="D188">
        <v>0.111209</v>
      </c>
      <c r="E188">
        <v>0.108863</v>
      </c>
      <c r="G188">
        <v>0.122073</v>
      </c>
      <c r="H188">
        <v>0.122061</v>
      </c>
    </row>
    <row r="189" spans="4:8">
      <c r="D189">
        <v>0.132989</v>
      </c>
      <c r="E189">
        <v>0.131299</v>
      </c>
      <c r="G189">
        <v>0.118868</v>
      </c>
      <c r="H189">
        <v>0.119516</v>
      </c>
    </row>
    <row r="190" spans="4:8">
      <c r="D190">
        <v>0.107273</v>
      </c>
      <c r="E190">
        <v>0.106502</v>
      </c>
      <c r="G190">
        <v>0.107558</v>
      </c>
      <c r="H190">
        <v>0.104069</v>
      </c>
    </row>
    <row r="191" spans="4:8">
      <c r="D191">
        <v>0.145186</v>
      </c>
      <c r="E191">
        <v>0.143932</v>
      </c>
      <c r="G191">
        <v>0.119708</v>
      </c>
      <c r="H191">
        <v>0.118828</v>
      </c>
    </row>
    <row r="192" spans="4:8">
      <c r="D192">
        <v>0.108823</v>
      </c>
      <c r="E192">
        <v>0.105657</v>
      </c>
      <c r="G192">
        <v>0.108165</v>
      </c>
      <c r="H192">
        <v>0.106247</v>
      </c>
    </row>
    <row r="193" spans="4:8">
      <c r="D193">
        <v>0.109872</v>
      </c>
      <c r="E193">
        <v>0.108215</v>
      </c>
      <c r="G193">
        <v>0.1132</v>
      </c>
      <c r="H193">
        <v>0.112963</v>
      </c>
    </row>
    <row r="194" spans="4:8">
      <c r="D194">
        <v>0.1201</v>
      </c>
      <c r="E194">
        <v>0.116282</v>
      </c>
      <c r="G194">
        <v>0.10092</v>
      </c>
      <c r="H194">
        <v>0.09817</v>
      </c>
    </row>
    <row r="195" spans="4:8">
      <c r="D195">
        <v>0.114323</v>
      </c>
      <c r="E195">
        <v>0.113214</v>
      </c>
      <c r="G195">
        <v>0.109905</v>
      </c>
      <c r="H195">
        <v>0.107575</v>
      </c>
    </row>
    <row r="196" spans="4:8">
      <c r="D196">
        <v>0.109273</v>
      </c>
      <c r="E196">
        <v>0.108483</v>
      </c>
      <c r="G196">
        <v>0.104096</v>
      </c>
      <c r="H196">
        <v>0.100271</v>
      </c>
    </row>
    <row r="197" spans="4:8">
      <c r="D197">
        <v>0.142696</v>
      </c>
      <c r="E197">
        <v>0.140099</v>
      </c>
      <c r="G197">
        <v>0.122775</v>
      </c>
      <c r="H197">
        <v>0.12114</v>
      </c>
    </row>
    <row r="198" spans="4:8">
      <c r="D198">
        <v>0.105513</v>
      </c>
      <c r="E198">
        <v>0.102931</v>
      </c>
      <c r="G198">
        <v>0.139413</v>
      </c>
      <c r="H198">
        <v>0.135995</v>
      </c>
    </row>
    <row r="199" spans="4:8">
      <c r="D199">
        <v>0.13976</v>
      </c>
      <c r="E199">
        <v>0.13624</v>
      </c>
      <c r="G199">
        <v>0.124793</v>
      </c>
      <c r="H199">
        <v>0.122614</v>
      </c>
    </row>
    <row r="200" spans="4:8">
      <c r="D200">
        <v>0.129144</v>
      </c>
      <c r="E200">
        <v>0.125821</v>
      </c>
      <c r="G200">
        <v>0.126255</v>
      </c>
      <c r="H200">
        <v>0.12247</v>
      </c>
    </row>
    <row r="201" spans="4:8">
      <c r="D201">
        <v>0.105962</v>
      </c>
      <c r="E201">
        <v>0.105122</v>
      </c>
      <c r="G201">
        <v>0.132809</v>
      </c>
      <c r="H201">
        <v>0.131632</v>
      </c>
    </row>
    <row r="202" spans="4:8">
      <c r="D202">
        <v>0.111574</v>
      </c>
      <c r="E202">
        <v>0.109133</v>
      </c>
      <c r="G202">
        <v>0.123035</v>
      </c>
      <c r="H202">
        <v>0.122959</v>
      </c>
    </row>
    <row r="203" spans="4:8">
      <c r="D203">
        <v>0.110264</v>
      </c>
      <c r="E203">
        <v>0.109371</v>
      </c>
      <c r="G203">
        <v>0.126027</v>
      </c>
      <c r="H203">
        <v>0.123306</v>
      </c>
    </row>
    <row r="204" spans="4:8">
      <c r="D204">
        <v>0.124234</v>
      </c>
      <c r="E204">
        <v>0.121553</v>
      </c>
      <c r="G204">
        <v>0.121213</v>
      </c>
      <c r="H204">
        <v>0.120389</v>
      </c>
    </row>
    <row r="205" spans="4:8">
      <c r="D205">
        <v>0.126646</v>
      </c>
      <c r="E205">
        <v>0.122855</v>
      </c>
      <c r="G205">
        <v>0.114646</v>
      </c>
      <c r="H205">
        <v>0.112415</v>
      </c>
    </row>
    <row r="206" spans="4:8">
      <c r="D206">
        <v>0.128367</v>
      </c>
      <c r="E206">
        <v>0.12611</v>
      </c>
      <c r="G206">
        <v>0.10731</v>
      </c>
      <c r="H206">
        <v>0.10412</v>
      </c>
    </row>
    <row r="207" spans="4:8">
      <c r="D207">
        <v>0.108323</v>
      </c>
      <c r="E207">
        <v>0.107494</v>
      </c>
      <c r="G207">
        <v>0.10771</v>
      </c>
      <c r="H207">
        <v>0.10656</v>
      </c>
    </row>
    <row r="208" spans="4:8">
      <c r="D208">
        <v>0.106156</v>
      </c>
      <c r="E208">
        <v>0.105055</v>
      </c>
      <c r="G208">
        <v>0.108083</v>
      </c>
      <c r="H208">
        <v>0.107833</v>
      </c>
    </row>
    <row r="209" spans="4:8">
      <c r="D209">
        <v>0.132978</v>
      </c>
      <c r="E209">
        <v>0.134401</v>
      </c>
      <c r="G209">
        <v>0.124079</v>
      </c>
      <c r="H209">
        <v>0.123613</v>
      </c>
    </row>
    <row r="210" spans="4:8">
      <c r="D210">
        <v>0.101308</v>
      </c>
      <c r="E210">
        <v>0.099832</v>
      </c>
      <c r="G210">
        <v>0.10903</v>
      </c>
      <c r="H210">
        <v>0.108248</v>
      </c>
    </row>
    <row r="211" spans="4:8">
      <c r="D211">
        <v>0.109202</v>
      </c>
      <c r="E211">
        <v>0.10578</v>
      </c>
      <c r="G211">
        <v>0.104523</v>
      </c>
      <c r="H211">
        <v>0.102842</v>
      </c>
    </row>
    <row r="212" spans="4:8">
      <c r="D212">
        <v>0.110852</v>
      </c>
      <c r="E212">
        <v>0.108307</v>
      </c>
      <c r="G212">
        <v>0.119444</v>
      </c>
      <c r="H212">
        <v>0.116457</v>
      </c>
    </row>
    <row r="213" spans="4:8">
      <c r="D213">
        <v>0.114156</v>
      </c>
      <c r="E213">
        <v>0.110383</v>
      </c>
      <c r="G213">
        <v>0.106297</v>
      </c>
      <c r="H213">
        <v>0.103826</v>
      </c>
    </row>
    <row r="214" spans="4:8">
      <c r="D214">
        <v>0.11984</v>
      </c>
      <c r="E214">
        <v>0.117436</v>
      </c>
      <c r="G214">
        <v>0.108622</v>
      </c>
      <c r="H214">
        <v>0.105324</v>
      </c>
    </row>
    <row r="215" spans="4:8">
      <c r="D215">
        <v>0.114965</v>
      </c>
      <c r="E215">
        <v>0.11387</v>
      </c>
      <c r="G215">
        <v>0.118167</v>
      </c>
      <c r="H215">
        <v>0.114867</v>
      </c>
    </row>
    <row r="216" spans="4:8">
      <c r="D216">
        <v>0.110316</v>
      </c>
      <c r="E216">
        <v>0.112537</v>
      </c>
      <c r="G216">
        <v>0.130663</v>
      </c>
      <c r="H216">
        <v>0.130215</v>
      </c>
    </row>
    <row r="217" spans="4:8">
      <c r="D217">
        <v>0.115534</v>
      </c>
      <c r="E217">
        <v>0.114463</v>
      </c>
      <c r="G217">
        <v>0.135502</v>
      </c>
      <c r="H217">
        <v>0.133391</v>
      </c>
    </row>
    <row r="218" spans="4:8">
      <c r="D218">
        <v>0.106686</v>
      </c>
      <c r="E218">
        <v>0.105142</v>
      </c>
      <c r="G218">
        <v>0.103122</v>
      </c>
      <c r="H218">
        <v>0.103097</v>
      </c>
    </row>
    <row r="219" spans="4:8">
      <c r="D219">
        <v>0.13517</v>
      </c>
      <c r="E219">
        <v>0.130784</v>
      </c>
      <c r="G219">
        <v>0.11057</v>
      </c>
      <c r="H219">
        <v>0.108213</v>
      </c>
    </row>
    <row r="220" spans="4:8">
      <c r="D220">
        <v>0.110107</v>
      </c>
      <c r="E220">
        <v>0.108596</v>
      </c>
      <c r="G220">
        <v>0.097327</v>
      </c>
      <c r="H220">
        <v>0.096804</v>
      </c>
    </row>
    <row r="221" spans="4:8">
      <c r="D221">
        <v>0.115782</v>
      </c>
      <c r="E221">
        <v>0.115318</v>
      </c>
      <c r="G221">
        <v>0.109274</v>
      </c>
      <c r="H221">
        <v>0.106858</v>
      </c>
    </row>
    <row r="222" spans="4:8">
      <c r="D222">
        <v>0.115774</v>
      </c>
      <c r="E222">
        <v>0.113868</v>
      </c>
      <c r="G222">
        <v>0.116304</v>
      </c>
      <c r="H222">
        <v>0.113401</v>
      </c>
    </row>
    <row r="223" spans="4:8">
      <c r="D223">
        <v>0.102609</v>
      </c>
      <c r="E223">
        <v>0.100629</v>
      </c>
      <c r="G223">
        <v>0.109146</v>
      </c>
      <c r="H223">
        <v>0.108443</v>
      </c>
    </row>
    <row r="224" spans="4:8">
      <c r="D224">
        <v>0.110887</v>
      </c>
      <c r="E224">
        <v>0.109506</v>
      </c>
      <c r="G224">
        <v>0.143612</v>
      </c>
      <c r="H224">
        <v>0.140492</v>
      </c>
    </row>
    <row r="225" spans="4:8">
      <c r="D225">
        <v>0.108025</v>
      </c>
      <c r="E225">
        <v>0.106071</v>
      </c>
      <c r="G225">
        <v>0.102712</v>
      </c>
      <c r="H225">
        <v>0.099419</v>
      </c>
    </row>
    <row r="226" spans="4:8">
      <c r="D226">
        <v>0.127973</v>
      </c>
      <c r="E226">
        <v>0.126865</v>
      </c>
      <c r="G226">
        <v>0.105001</v>
      </c>
      <c r="H226">
        <v>0.103004</v>
      </c>
    </row>
    <row r="227" spans="4:8">
      <c r="D227">
        <v>0.103022</v>
      </c>
      <c r="E227">
        <v>0.104339</v>
      </c>
      <c r="G227">
        <v>0.112613</v>
      </c>
      <c r="H227">
        <v>0.108669</v>
      </c>
    </row>
    <row r="228" spans="4:8">
      <c r="D228">
        <v>0.116628</v>
      </c>
      <c r="E228">
        <v>0.115087</v>
      </c>
      <c r="G228">
        <v>0.109087</v>
      </c>
      <c r="H228">
        <v>0.106885</v>
      </c>
    </row>
    <row r="229" spans="4:8">
      <c r="D229">
        <v>0.13228</v>
      </c>
      <c r="E229">
        <v>0.128795</v>
      </c>
      <c r="G229">
        <v>0.110329</v>
      </c>
      <c r="H229">
        <v>0.106931</v>
      </c>
    </row>
    <row r="230" spans="4:8">
      <c r="D230">
        <v>0.113404</v>
      </c>
      <c r="E230">
        <v>0.114129</v>
      </c>
      <c r="G230">
        <v>0.106743</v>
      </c>
      <c r="H230">
        <v>0.10656</v>
      </c>
    </row>
    <row r="231" spans="4:8">
      <c r="D231">
        <v>0.12213</v>
      </c>
      <c r="E231">
        <v>0.11845</v>
      </c>
      <c r="G231">
        <v>0.103837</v>
      </c>
      <c r="H231">
        <v>0.100751</v>
      </c>
    </row>
    <row r="232" spans="4:8">
      <c r="D232">
        <v>0.107711</v>
      </c>
      <c r="E232">
        <v>0.104393</v>
      </c>
      <c r="G232">
        <v>0.108992</v>
      </c>
      <c r="H232">
        <v>0.107801</v>
      </c>
    </row>
    <row r="233" spans="4:8">
      <c r="D233">
        <v>0.109895</v>
      </c>
      <c r="E233">
        <v>0.10645</v>
      </c>
      <c r="G233">
        <v>0.105077</v>
      </c>
      <c r="H233">
        <v>0.103211</v>
      </c>
    </row>
    <row r="234" spans="4:8">
      <c r="D234">
        <v>0.113221</v>
      </c>
      <c r="E234">
        <v>0.109984</v>
      </c>
      <c r="G234">
        <v>0.099688</v>
      </c>
      <c r="H234">
        <v>0.099484</v>
      </c>
    </row>
    <row r="235" spans="4:8">
      <c r="D235">
        <v>0.113091</v>
      </c>
      <c r="E235">
        <v>0.109886</v>
      </c>
      <c r="G235">
        <v>0.133988</v>
      </c>
      <c r="H235">
        <v>0.131742</v>
      </c>
    </row>
    <row r="236" spans="4:8">
      <c r="D236">
        <v>0.124746</v>
      </c>
      <c r="E236">
        <v>0.120886</v>
      </c>
      <c r="G236">
        <v>0.099973</v>
      </c>
      <c r="H236">
        <v>0.097284</v>
      </c>
    </row>
    <row r="237" spans="4:8">
      <c r="D237">
        <v>0.108688</v>
      </c>
      <c r="E237">
        <v>0.105833</v>
      </c>
      <c r="G237">
        <v>0.101651</v>
      </c>
      <c r="H237">
        <v>0.100574</v>
      </c>
    </row>
    <row r="238" spans="4:8">
      <c r="D238">
        <v>0.11515</v>
      </c>
      <c r="E238">
        <v>0.115</v>
      </c>
      <c r="G238">
        <v>0.110917</v>
      </c>
      <c r="H238">
        <v>0.108983</v>
      </c>
    </row>
    <row r="239" spans="4:8">
      <c r="D239">
        <v>0.100596</v>
      </c>
      <c r="E239">
        <v>0.098142</v>
      </c>
      <c r="G239">
        <v>0.114888</v>
      </c>
      <c r="H239">
        <v>0.113</v>
      </c>
    </row>
    <row r="240" spans="4:8">
      <c r="D240">
        <v>0.122967</v>
      </c>
      <c r="E240">
        <v>0.119963</v>
      </c>
      <c r="G240">
        <v>0.109143</v>
      </c>
      <c r="H240">
        <v>0.107731</v>
      </c>
    </row>
    <row r="241" spans="4:8">
      <c r="D241">
        <v>0.119485</v>
      </c>
      <c r="E241">
        <v>0.117238</v>
      </c>
      <c r="G241">
        <v>0.103316</v>
      </c>
      <c r="H241">
        <v>0.102768</v>
      </c>
    </row>
    <row r="242" spans="4:8">
      <c r="D242">
        <v>0.114148</v>
      </c>
      <c r="E242">
        <v>0.111826</v>
      </c>
      <c r="G242">
        <v>0.102787</v>
      </c>
      <c r="H242">
        <v>0.101562</v>
      </c>
    </row>
    <row r="243" spans="4:8">
      <c r="D243">
        <v>0.100162</v>
      </c>
      <c r="E243">
        <v>0.098689</v>
      </c>
      <c r="G243">
        <v>0.103815</v>
      </c>
      <c r="H243">
        <v>0.100082</v>
      </c>
    </row>
    <row r="244" spans="4:8">
      <c r="D244">
        <v>0.108048</v>
      </c>
      <c r="E244">
        <v>0.108196</v>
      </c>
      <c r="G244">
        <v>0.109209</v>
      </c>
      <c r="H244">
        <v>0.106548</v>
      </c>
    </row>
    <row r="245" spans="4:8">
      <c r="D245">
        <v>0.110176</v>
      </c>
      <c r="E245">
        <v>0.108123</v>
      </c>
      <c r="G245">
        <v>0.107886</v>
      </c>
      <c r="H245">
        <v>0.1059</v>
      </c>
    </row>
    <row r="246" spans="4:8">
      <c r="D246">
        <v>0.106921</v>
      </c>
      <c r="E246">
        <v>0.104447</v>
      </c>
      <c r="G246">
        <v>0.110236</v>
      </c>
      <c r="H246">
        <v>0.109177</v>
      </c>
    </row>
    <row r="247" spans="4:8">
      <c r="D247">
        <v>0.102619</v>
      </c>
      <c r="E247">
        <v>0.100833</v>
      </c>
      <c r="G247">
        <v>0.099616</v>
      </c>
      <c r="H247">
        <v>0.098864</v>
      </c>
    </row>
    <row r="248" spans="4:8">
      <c r="D248">
        <v>0.125773</v>
      </c>
      <c r="E248">
        <v>0.121744</v>
      </c>
      <c r="G248">
        <v>0.098455</v>
      </c>
      <c r="H248">
        <v>0.095871</v>
      </c>
    </row>
    <row r="249" spans="4:8">
      <c r="D249">
        <v>0.117353</v>
      </c>
      <c r="E249">
        <v>0.1147</v>
      </c>
      <c r="G249">
        <v>0.117052</v>
      </c>
      <c r="H249">
        <v>0.116105</v>
      </c>
    </row>
    <row r="250" spans="4:8">
      <c r="D250">
        <v>0.114356</v>
      </c>
      <c r="E250">
        <v>0.111063</v>
      </c>
      <c r="G250">
        <v>0.111789</v>
      </c>
      <c r="H250">
        <v>0.110755</v>
      </c>
    </row>
    <row r="251" spans="4:8">
      <c r="D251">
        <v>0.102592</v>
      </c>
      <c r="E251">
        <v>0.10154</v>
      </c>
      <c r="G251">
        <v>0.10174</v>
      </c>
      <c r="H251">
        <v>0.100081</v>
      </c>
    </row>
    <row r="252" spans="4:8">
      <c r="D252">
        <v>0.104438</v>
      </c>
      <c r="E252">
        <v>0.101077</v>
      </c>
      <c r="G252">
        <v>0.105235</v>
      </c>
      <c r="H252">
        <v>0.101524</v>
      </c>
    </row>
    <row r="253" spans="4:8">
      <c r="D253">
        <v>0.114537</v>
      </c>
      <c r="E253">
        <v>0.113022</v>
      </c>
      <c r="G253">
        <v>0.111787</v>
      </c>
      <c r="H253">
        <v>0.110415</v>
      </c>
    </row>
    <row r="254" spans="4:8">
      <c r="D254">
        <v>0.151987</v>
      </c>
      <c r="E254">
        <v>0.150881</v>
      </c>
      <c r="G254">
        <v>0.106702</v>
      </c>
      <c r="H254">
        <v>0.105262</v>
      </c>
    </row>
    <row r="255" spans="4:8">
      <c r="D255">
        <v>0.109169</v>
      </c>
      <c r="E255">
        <v>0.107329</v>
      </c>
      <c r="G255">
        <v>0.100204</v>
      </c>
      <c r="H255">
        <v>0.097375</v>
      </c>
    </row>
    <row r="256" spans="4:8">
      <c r="D256">
        <v>0.126064</v>
      </c>
      <c r="E256">
        <v>0.126936</v>
      </c>
      <c r="G256">
        <v>0.096547</v>
      </c>
      <c r="H256">
        <v>0.094862</v>
      </c>
    </row>
    <row r="257" spans="4:8">
      <c r="D257">
        <v>0.118082</v>
      </c>
      <c r="E257">
        <v>0.116208</v>
      </c>
      <c r="G257">
        <v>0.100373</v>
      </c>
      <c r="H257">
        <v>0.098342</v>
      </c>
    </row>
    <row r="258" spans="4:8">
      <c r="D258">
        <v>0.102032</v>
      </c>
      <c r="E258">
        <v>0.100219</v>
      </c>
      <c r="G258">
        <v>0.100573</v>
      </c>
      <c r="H258">
        <v>0.098308</v>
      </c>
    </row>
    <row r="259" spans="4:8">
      <c r="D259">
        <v>0.11044</v>
      </c>
      <c r="E259">
        <v>0.109072</v>
      </c>
      <c r="G259">
        <v>0.103935</v>
      </c>
      <c r="H259">
        <v>0.104033</v>
      </c>
    </row>
    <row r="260" spans="4:8">
      <c r="D260">
        <v>0.112038</v>
      </c>
      <c r="E260">
        <v>0.111206</v>
      </c>
      <c r="G260">
        <v>0.096447</v>
      </c>
      <c r="H260">
        <v>0.092508</v>
      </c>
    </row>
    <row r="261" spans="4:8">
      <c r="D261">
        <v>0.103638</v>
      </c>
      <c r="E261">
        <v>0.10137</v>
      </c>
      <c r="G261">
        <v>0.102093</v>
      </c>
      <c r="H261">
        <v>0.101304</v>
      </c>
    </row>
    <row r="262" spans="4:8">
      <c r="D262">
        <v>0.133556</v>
      </c>
      <c r="E262">
        <v>0.132465</v>
      </c>
      <c r="G262">
        <v>0.096541</v>
      </c>
      <c r="H262">
        <v>0.095531</v>
      </c>
    </row>
    <row r="263" spans="4:8">
      <c r="D263">
        <v>0.098268</v>
      </c>
      <c r="E263">
        <v>0.096496</v>
      </c>
      <c r="G263">
        <v>0.098957</v>
      </c>
      <c r="H263">
        <v>0.096003</v>
      </c>
    </row>
    <row r="264" spans="4:8">
      <c r="D264">
        <v>0.104936</v>
      </c>
      <c r="E264">
        <v>0.102969</v>
      </c>
      <c r="G264">
        <v>0.101406</v>
      </c>
      <c r="H264">
        <v>0.099445</v>
      </c>
    </row>
    <row r="265" spans="4:8">
      <c r="D265">
        <v>0.109745</v>
      </c>
      <c r="E265">
        <v>0.108662</v>
      </c>
      <c r="G265">
        <v>0.103085</v>
      </c>
      <c r="H265">
        <v>0.10216</v>
      </c>
    </row>
    <row r="266" spans="4:8">
      <c r="D266">
        <v>0.10047</v>
      </c>
      <c r="E266">
        <v>0.098462</v>
      </c>
      <c r="G266">
        <v>0.100864</v>
      </c>
      <c r="H266">
        <v>0.09835</v>
      </c>
    </row>
    <row r="267" spans="4:8">
      <c r="D267">
        <v>0.110893</v>
      </c>
      <c r="E267">
        <v>0.111324</v>
      </c>
      <c r="G267">
        <v>0.09945</v>
      </c>
      <c r="H267">
        <v>0.098766</v>
      </c>
    </row>
    <row r="268" spans="4:8">
      <c r="D268">
        <v>0.10082</v>
      </c>
      <c r="E268">
        <v>0.099567</v>
      </c>
      <c r="G268">
        <v>0.117121</v>
      </c>
      <c r="H268">
        <v>0.114522</v>
      </c>
    </row>
    <row r="269" spans="4:8">
      <c r="D269">
        <v>0.102847</v>
      </c>
      <c r="E269">
        <v>0.099427</v>
      </c>
      <c r="G269">
        <v>0.094901</v>
      </c>
      <c r="H269">
        <v>0.092548</v>
      </c>
    </row>
    <row r="270" spans="4:8">
      <c r="D270">
        <v>0.113371</v>
      </c>
      <c r="E270">
        <v>0.113964</v>
      </c>
      <c r="G270">
        <v>0.11406</v>
      </c>
      <c r="H270">
        <v>0.112464</v>
      </c>
    </row>
    <row r="271" spans="4:8">
      <c r="D271">
        <v>0.099927</v>
      </c>
      <c r="E271">
        <v>0.098182</v>
      </c>
      <c r="G271">
        <v>0.121677</v>
      </c>
      <c r="H271">
        <v>0.119394</v>
      </c>
    </row>
    <row r="272" spans="4:8">
      <c r="D272">
        <v>0.10218</v>
      </c>
      <c r="E272">
        <v>0.097708</v>
      </c>
      <c r="G272">
        <v>0.115536</v>
      </c>
      <c r="H272">
        <v>0.113373</v>
      </c>
    </row>
    <row r="273" spans="4:8">
      <c r="D273">
        <v>0.112623</v>
      </c>
      <c r="E273">
        <v>0.110823</v>
      </c>
      <c r="G273">
        <v>0.122035</v>
      </c>
      <c r="H273">
        <v>0.119462</v>
      </c>
    </row>
    <row r="274" spans="4:8">
      <c r="D274">
        <v>0.103265</v>
      </c>
      <c r="E274">
        <v>0.100775</v>
      </c>
      <c r="G274">
        <v>0.102339</v>
      </c>
      <c r="H274">
        <v>0.100809</v>
      </c>
    </row>
    <row r="275" spans="4:8">
      <c r="D275">
        <v>0.102184</v>
      </c>
      <c r="E275">
        <v>0.09781</v>
      </c>
      <c r="G275">
        <v>0.117971</v>
      </c>
      <c r="H275">
        <v>0.116771</v>
      </c>
    </row>
    <row r="276" spans="4:8">
      <c r="D276">
        <v>0.109455</v>
      </c>
      <c r="E276">
        <v>0.107456</v>
      </c>
      <c r="G276">
        <v>0.103678</v>
      </c>
      <c r="H276">
        <v>0.101752</v>
      </c>
    </row>
    <row r="277" spans="4:8">
      <c r="D277">
        <v>0.099414</v>
      </c>
      <c r="E277">
        <v>0.096168</v>
      </c>
      <c r="G277">
        <v>0.099519</v>
      </c>
      <c r="H277">
        <v>0.099751</v>
      </c>
    </row>
    <row r="278" spans="4:8">
      <c r="D278">
        <v>0.109994</v>
      </c>
      <c r="E278">
        <v>0.109138</v>
      </c>
      <c r="G278">
        <v>0.096909</v>
      </c>
      <c r="H278">
        <v>0.094499</v>
      </c>
    </row>
    <row r="279" spans="4:8">
      <c r="D279">
        <v>0.100903</v>
      </c>
      <c r="E279">
        <v>0.098604</v>
      </c>
      <c r="G279">
        <v>0.097899</v>
      </c>
      <c r="H279">
        <v>0.097061</v>
      </c>
    </row>
    <row r="280" spans="4:8">
      <c r="D280">
        <v>0.11544</v>
      </c>
      <c r="E280">
        <v>0.112747</v>
      </c>
      <c r="G280">
        <v>0.099402</v>
      </c>
      <c r="H280">
        <v>0.096236</v>
      </c>
    </row>
    <row r="281" spans="4:8">
      <c r="D281">
        <v>0.104854</v>
      </c>
      <c r="E281">
        <v>0.104288</v>
      </c>
      <c r="G281">
        <v>0.098669</v>
      </c>
      <c r="H281">
        <v>0.096693</v>
      </c>
    </row>
    <row r="282" spans="4:8">
      <c r="D282">
        <v>0.100259</v>
      </c>
      <c r="E282">
        <v>0.098353</v>
      </c>
      <c r="G282">
        <v>0.111523</v>
      </c>
      <c r="H282">
        <v>0.109357</v>
      </c>
    </row>
    <row r="283" spans="4:8">
      <c r="D283">
        <v>0.098489</v>
      </c>
      <c r="E283">
        <v>0.096932</v>
      </c>
      <c r="G283">
        <v>0.099699</v>
      </c>
      <c r="H283">
        <v>0.098012</v>
      </c>
    </row>
    <row r="284" spans="4:8">
      <c r="D284">
        <v>0.094926</v>
      </c>
      <c r="E284">
        <v>0.094956</v>
      </c>
      <c r="G284">
        <v>0.100199</v>
      </c>
      <c r="H284">
        <v>0.099564</v>
      </c>
    </row>
    <row r="285" spans="4:8">
      <c r="D285">
        <v>0.094212</v>
      </c>
      <c r="E285">
        <v>0.092068</v>
      </c>
      <c r="G285">
        <v>0.121422</v>
      </c>
      <c r="H285">
        <v>0.118222</v>
      </c>
    </row>
    <row r="286" spans="4:8">
      <c r="D286">
        <v>0.098265</v>
      </c>
      <c r="E286">
        <v>0.09655</v>
      </c>
      <c r="G286">
        <v>0.098426</v>
      </c>
      <c r="H286">
        <v>0.095538</v>
      </c>
    </row>
    <row r="287" spans="4:8">
      <c r="D287">
        <v>0.105503</v>
      </c>
      <c r="E287">
        <v>0.107862</v>
      </c>
      <c r="G287">
        <v>0.095742</v>
      </c>
      <c r="H287">
        <v>0.095059</v>
      </c>
    </row>
    <row r="288" spans="4:8">
      <c r="D288">
        <v>0.114111</v>
      </c>
      <c r="E288">
        <v>0.112278</v>
      </c>
      <c r="G288">
        <v>0.103841</v>
      </c>
      <c r="H288">
        <v>0.101339</v>
      </c>
    </row>
    <row r="289" spans="4:8">
      <c r="D289">
        <v>0.09872</v>
      </c>
      <c r="E289">
        <v>0.096339</v>
      </c>
      <c r="G289">
        <v>0.097289</v>
      </c>
      <c r="H289">
        <v>0.096132</v>
      </c>
    </row>
    <row r="290" spans="4:8">
      <c r="D290">
        <v>0.110624</v>
      </c>
      <c r="E290">
        <v>0.109514</v>
      </c>
      <c r="G290">
        <v>0.104011</v>
      </c>
      <c r="H290">
        <v>0.102916</v>
      </c>
    </row>
    <row r="291" spans="4:8">
      <c r="D291">
        <v>0.103195</v>
      </c>
      <c r="E291">
        <v>0.100034</v>
      </c>
      <c r="G291">
        <v>0.107471</v>
      </c>
      <c r="H291">
        <v>0.106875</v>
      </c>
    </row>
    <row r="292" spans="4:8">
      <c r="D292">
        <v>0.112444</v>
      </c>
      <c r="E292">
        <v>0.109727</v>
      </c>
      <c r="G292">
        <v>0.095974</v>
      </c>
      <c r="H292">
        <v>0.097107</v>
      </c>
    </row>
    <row r="293" spans="4:8">
      <c r="D293">
        <v>0.09608</v>
      </c>
      <c r="E293">
        <v>0.093362</v>
      </c>
      <c r="G293">
        <v>0.104232</v>
      </c>
      <c r="H293">
        <v>0.102403</v>
      </c>
    </row>
    <row r="294" spans="4:8">
      <c r="D294">
        <v>0.103317</v>
      </c>
      <c r="E294">
        <v>0.101465</v>
      </c>
      <c r="G294">
        <v>0.091039</v>
      </c>
      <c r="H294">
        <v>0.088306</v>
      </c>
    </row>
    <row r="295" spans="4:8">
      <c r="D295">
        <v>0.101563</v>
      </c>
      <c r="E295">
        <v>0.101102</v>
      </c>
      <c r="G295">
        <v>0.099699</v>
      </c>
      <c r="H295">
        <v>0.097044</v>
      </c>
    </row>
    <row r="296" spans="4:8">
      <c r="D296">
        <v>0.098374</v>
      </c>
      <c r="E296">
        <v>0.09788</v>
      </c>
      <c r="G296">
        <v>0.105997</v>
      </c>
      <c r="H296">
        <v>0.102355</v>
      </c>
    </row>
    <row r="297" spans="4:8">
      <c r="D297">
        <v>0.101266</v>
      </c>
      <c r="E297">
        <v>0.099104</v>
      </c>
      <c r="G297">
        <v>0.105607</v>
      </c>
      <c r="H297">
        <v>0.103694</v>
      </c>
    </row>
    <row r="298" spans="4:8">
      <c r="D298">
        <v>0.132743</v>
      </c>
      <c r="E298">
        <v>0.130475</v>
      </c>
      <c r="G298">
        <v>0.096975</v>
      </c>
      <c r="H298">
        <v>0.095101</v>
      </c>
    </row>
    <row r="299" spans="4:8">
      <c r="D299">
        <v>0.113112</v>
      </c>
      <c r="E299">
        <v>0.111161</v>
      </c>
      <c r="G299">
        <v>0.109889</v>
      </c>
      <c r="H299">
        <v>0.10926</v>
      </c>
    </row>
    <row r="300" spans="4:8">
      <c r="D300">
        <v>0.105106</v>
      </c>
      <c r="E300">
        <v>0.104365</v>
      </c>
      <c r="G300">
        <v>0.096683</v>
      </c>
      <c r="H300">
        <v>0.095297</v>
      </c>
    </row>
    <row r="301" spans="4:8">
      <c r="D301">
        <v>0.109315</v>
      </c>
      <c r="E301">
        <v>0.10461</v>
      </c>
      <c r="G301">
        <v>0.093651</v>
      </c>
      <c r="H301">
        <v>0.092062</v>
      </c>
    </row>
    <row r="302" spans="4:8">
      <c r="D302">
        <v>0.096828</v>
      </c>
      <c r="E302">
        <v>0.095046</v>
      </c>
      <c r="G302">
        <v>0.09975</v>
      </c>
      <c r="H302">
        <v>0.098151</v>
      </c>
    </row>
    <row r="303" spans="4:8">
      <c r="D303">
        <v>0.107042</v>
      </c>
      <c r="E303">
        <v>0.103209</v>
      </c>
      <c r="G303">
        <v>0.093832</v>
      </c>
      <c r="H303">
        <v>0.091999</v>
      </c>
    </row>
    <row r="304" spans="4:8">
      <c r="D304">
        <v>0.095476</v>
      </c>
      <c r="E304">
        <v>0.093884</v>
      </c>
      <c r="G304">
        <v>0.101298</v>
      </c>
      <c r="H304">
        <v>0.100028</v>
      </c>
    </row>
    <row r="305" spans="4:8">
      <c r="D305">
        <v>0.099482</v>
      </c>
      <c r="E305">
        <v>0.097035</v>
      </c>
      <c r="G305">
        <v>0.090678</v>
      </c>
      <c r="H305">
        <v>0.090591</v>
      </c>
    </row>
    <row r="306" spans="4:8">
      <c r="D306">
        <v>0.102294</v>
      </c>
      <c r="E306">
        <v>0.100502</v>
      </c>
      <c r="G306">
        <v>0.095483</v>
      </c>
      <c r="H306">
        <v>0.092852</v>
      </c>
    </row>
    <row r="307" spans="4:8">
      <c r="D307">
        <v>0.105152</v>
      </c>
      <c r="E307">
        <v>0.101897</v>
      </c>
      <c r="G307">
        <v>0.099497</v>
      </c>
      <c r="H307">
        <v>0.09573</v>
      </c>
    </row>
    <row r="308" spans="4:8">
      <c r="D308">
        <v>0.110701</v>
      </c>
      <c r="E308">
        <v>0.110545</v>
      </c>
      <c r="G308">
        <v>0.093184</v>
      </c>
      <c r="H308">
        <v>0.094475</v>
      </c>
    </row>
    <row r="309" spans="4:8">
      <c r="D309">
        <v>0.092729</v>
      </c>
      <c r="E309">
        <v>0.090624</v>
      </c>
      <c r="G309">
        <v>0.097147</v>
      </c>
      <c r="H309">
        <v>0.09566</v>
      </c>
    </row>
    <row r="310" spans="4:8">
      <c r="D310">
        <v>0.102242</v>
      </c>
      <c r="E310">
        <v>0.099714</v>
      </c>
      <c r="G310">
        <v>0.098288</v>
      </c>
      <c r="H310">
        <v>0.097751</v>
      </c>
    </row>
    <row r="311" spans="4:8">
      <c r="D311">
        <v>0.095842</v>
      </c>
      <c r="E311">
        <v>0.094431</v>
      </c>
      <c r="G311">
        <v>0.111322</v>
      </c>
      <c r="H311">
        <v>0.109921</v>
      </c>
    </row>
    <row r="312" spans="4:8">
      <c r="D312">
        <v>0.093327</v>
      </c>
      <c r="E312">
        <v>0.091069</v>
      </c>
      <c r="G312">
        <v>0.10634</v>
      </c>
      <c r="H312">
        <v>0.10284</v>
      </c>
    </row>
    <row r="313" spans="4:8">
      <c r="D313">
        <v>0.098561</v>
      </c>
      <c r="E313">
        <v>0.096409</v>
      </c>
      <c r="G313">
        <v>0.117613</v>
      </c>
      <c r="H313">
        <v>0.113528</v>
      </c>
    </row>
    <row r="314" spans="4:8">
      <c r="D314">
        <v>0.105613</v>
      </c>
      <c r="E314">
        <v>0.104368</v>
      </c>
      <c r="G314">
        <v>0.096242</v>
      </c>
      <c r="H314">
        <v>0.096025</v>
      </c>
    </row>
    <row r="315" spans="4:8">
      <c r="D315">
        <v>0.098902</v>
      </c>
      <c r="E315">
        <v>0.096047</v>
      </c>
      <c r="G315">
        <v>0.11416</v>
      </c>
      <c r="H315">
        <v>0.113564</v>
      </c>
    </row>
    <row r="316" spans="4:8">
      <c r="D316">
        <v>0.091893</v>
      </c>
      <c r="E316">
        <v>0.089565</v>
      </c>
      <c r="G316">
        <v>0.115183</v>
      </c>
      <c r="H316">
        <v>0.113601</v>
      </c>
    </row>
    <row r="317" spans="4:8">
      <c r="D317">
        <v>0.116478</v>
      </c>
      <c r="E317">
        <v>0.114714</v>
      </c>
      <c r="G317">
        <v>0.089702</v>
      </c>
      <c r="H317">
        <v>0.086575</v>
      </c>
    </row>
    <row r="318" spans="4:8">
      <c r="D318">
        <v>0.099782</v>
      </c>
      <c r="E318">
        <v>0.097653</v>
      </c>
      <c r="G318">
        <v>0.104474</v>
      </c>
      <c r="H318">
        <v>0.102201</v>
      </c>
    </row>
    <row r="319" spans="4:8">
      <c r="D319">
        <v>0.095814</v>
      </c>
      <c r="E319">
        <v>0.093622</v>
      </c>
      <c r="G319">
        <v>0.097107</v>
      </c>
      <c r="H319">
        <v>0.094603</v>
      </c>
    </row>
    <row r="320" spans="4:8">
      <c r="D320">
        <v>0.097955</v>
      </c>
      <c r="E320">
        <v>0.094763</v>
      </c>
      <c r="G320">
        <v>0.095572</v>
      </c>
      <c r="H320">
        <v>0.094044</v>
      </c>
    </row>
    <row r="321" spans="4:8">
      <c r="D321">
        <v>0.10174</v>
      </c>
      <c r="E321">
        <v>0.099923</v>
      </c>
      <c r="G321">
        <v>0.099124</v>
      </c>
      <c r="H321">
        <v>0.096271</v>
      </c>
    </row>
    <row r="322" spans="4:8">
      <c r="D322">
        <v>0.091781</v>
      </c>
      <c r="E322">
        <v>0.089032</v>
      </c>
      <c r="G322">
        <v>0.094944</v>
      </c>
      <c r="H322">
        <v>0.091498</v>
      </c>
    </row>
    <row r="323" spans="4:8">
      <c r="D323">
        <v>0.093184</v>
      </c>
      <c r="E323">
        <v>0.090175</v>
      </c>
      <c r="G323">
        <v>0.095792</v>
      </c>
      <c r="H323">
        <v>0.092388</v>
      </c>
    </row>
    <row r="324" spans="4:8">
      <c r="D324">
        <v>0.096572</v>
      </c>
      <c r="E324">
        <v>0.095436</v>
      </c>
      <c r="G324">
        <v>0.093039</v>
      </c>
      <c r="H324">
        <v>0.091751</v>
      </c>
    </row>
    <row r="325" spans="4:8">
      <c r="D325">
        <v>0.097489</v>
      </c>
      <c r="E325">
        <v>0.096355</v>
      </c>
      <c r="G325">
        <v>0.106296</v>
      </c>
      <c r="H325">
        <v>0.103529</v>
      </c>
    </row>
    <row r="326" spans="4:8">
      <c r="D326">
        <v>0.098549</v>
      </c>
      <c r="E326">
        <v>0.096658</v>
      </c>
      <c r="G326">
        <v>0.092132</v>
      </c>
      <c r="H326">
        <v>0.091893</v>
      </c>
    </row>
    <row r="327" spans="4:8">
      <c r="D327">
        <v>0.091837</v>
      </c>
      <c r="E327">
        <v>0.088493</v>
      </c>
      <c r="G327">
        <v>0.090284</v>
      </c>
      <c r="H327">
        <v>0.088709</v>
      </c>
    </row>
    <row r="328" spans="4:8">
      <c r="D328">
        <v>0.092437</v>
      </c>
      <c r="E328">
        <v>0.090373</v>
      </c>
      <c r="G328">
        <v>0.10045</v>
      </c>
      <c r="H328">
        <v>0.09925</v>
      </c>
    </row>
    <row r="329" spans="4:8">
      <c r="D329">
        <v>0.1071</v>
      </c>
      <c r="E329">
        <v>0.105626</v>
      </c>
      <c r="G329">
        <v>0.09676</v>
      </c>
      <c r="H329">
        <v>0.093012</v>
      </c>
    </row>
    <row r="330" spans="4:8">
      <c r="D330">
        <v>0.102734</v>
      </c>
      <c r="E330">
        <v>0.102046</v>
      </c>
      <c r="G330">
        <v>0.094707</v>
      </c>
      <c r="H330">
        <v>0.094609</v>
      </c>
    </row>
    <row r="331" spans="4:8">
      <c r="D331">
        <v>0.093278</v>
      </c>
      <c r="E331">
        <v>0.089205</v>
      </c>
      <c r="G331">
        <v>0.092237</v>
      </c>
      <c r="H331">
        <v>0.090167</v>
      </c>
    </row>
    <row r="332" spans="4:8">
      <c r="D332">
        <v>0.093174</v>
      </c>
      <c r="E332">
        <v>0.094163</v>
      </c>
      <c r="G332">
        <v>0.091293</v>
      </c>
      <c r="H332">
        <v>0.090523</v>
      </c>
    </row>
    <row r="333" spans="4:8">
      <c r="D333">
        <v>0.109016</v>
      </c>
      <c r="E333">
        <v>0.107194</v>
      </c>
      <c r="G333">
        <v>0.100731</v>
      </c>
      <c r="H333">
        <v>0.099656</v>
      </c>
    </row>
    <row r="334" spans="4:8">
      <c r="D334">
        <v>0.098613</v>
      </c>
      <c r="E334">
        <v>0.096108</v>
      </c>
      <c r="G334">
        <v>0.095212</v>
      </c>
      <c r="H334">
        <v>0.091456</v>
      </c>
    </row>
    <row r="335" spans="4:8">
      <c r="D335">
        <v>0.096701</v>
      </c>
      <c r="E335">
        <v>0.094661</v>
      </c>
      <c r="G335">
        <v>0.101063</v>
      </c>
      <c r="H335">
        <v>0.09858</v>
      </c>
    </row>
    <row r="336" spans="4:8">
      <c r="D336">
        <v>0.101737</v>
      </c>
      <c r="E336">
        <v>0.100064</v>
      </c>
      <c r="G336">
        <v>0.090403</v>
      </c>
      <c r="H336">
        <v>0.089882</v>
      </c>
    </row>
    <row r="337" spans="4:8">
      <c r="D337">
        <v>0.093214</v>
      </c>
      <c r="E337">
        <v>0.090929</v>
      </c>
      <c r="G337">
        <v>0.090234</v>
      </c>
      <c r="H337">
        <v>0.089232</v>
      </c>
    </row>
    <row r="338" spans="4:8">
      <c r="D338">
        <v>0.108724</v>
      </c>
      <c r="E338">
        <v>0.106923</v>
      </c>
      <c r="G338">
        <v>0.08841</v>
      </c>
      <c r="H338">
        <v>0.085976</v>
      </c>
    </row>
    <row r="339" spans="4:8">
      <c r="D339">
        <v>0.104994</v>
      </c>
      <c r="E339">
        <v>0.103401</v>
      </c>
      <c r="G339">
        <v>0.100002</v>
      </c>
      <c r="H339">
        <v>0.096271</v>
      </c>
    </row>
    <row r="340" spans="4:8">
      <c r="D340">
        <v>0.09212</v>
      </c>
      <c r="E340">
        <v>0.089822</v>
      </c>
      <c r="G340">
        <v>0.089911</v>
      </c>
      <c r="H340">
        <v>0.087223</v>
      </c>
    </row>
    <row r="341" spans="4:8">
      <c r="D341">
        <v>0.096075</v>
      </c>
      <c r="E341">
        <v>0.093864</v>
      </c>
      <c r="G341">
        <v>0.090678</v>
      </c>
      <c r="H341">
        <v>0.087392</v>
      </c>
    </row>
    <row r="342" spans="4:8">
      <c r="D342">
        <v>0.100528</v>
      </c>
      <c r="E342">
        <v>0.098589</v>
      </c>
      <c r="G342">
        <v>0.094278</v>
      </c>
      <c r="H342">
        <v>0.092093</v>
      </c>
    </row>
    <row r="343" spans="4:8">
      <c r="D343">
        <v>0.090967</v>
      </c>
      <c r="E343">
        <v>0.088981</v>
      </c>
      <c r="G343">
        <v>0.093519</v>
      </c>
      <c r="H343">
        <v>0.091728</v>
      </c>
    </row>
    <row r="344" spans="4:8">
      <c r="D344">
        <v>0.093432</v>
      </c>
      <c r="E344">
        <v>0.092009</v>
      </c>
      <c r="G344">
        <v>0.103705</v>
      </c>
      <c r="H344">
        <v>0.102026</v>
      </c>
    </row>
    <row r="345" spans="4:8">
      <c r="D345">
        <v>0.088943</v>
      </c>
      <c r="E345">
        <v>0.086887</v>
      </c>
      <c r="G345">
        <v>0.091625</v>
      </c>
      <c r="H345">
        <v>0.089443</v>
      </c>
    </row>
    <row r="346" spans="4:8">
      <c r="D346">
        <v>0.100027</v>
      </c>
      <c r="E346">
        <v>0.098435</v>
      </c>
      <c r="G346">
        <v>0.109121</v>
      </c>
      <c r="H346">
        <v>0.107462</v>
      </c>
    </row>
    <row r="347" spans="4:8">
      <c r="D347">
        <v>0.099202</v>
      </c>
      <c r="E347">
        <v>0.096636</v>
      </c>
      <c r="G347">
        <v>0.095157</v>
      </c>
      <c r="H347">
        <v>0.093006</v>
      </c>
    </row>
    <row r="348" spans="4:8">
      <c r="D348">
        <v>0.090366</v>
      </c>
      <c r="E348">
        <v>0.088553</v>
      </c>
      <c r="G348">
        <v>0.098886</v>
      </c>
      <c r="H348">
        <v>0.096097</v>
      </c>
    </row>
    <row r="349" spans="4:8">
      <c r="D349">
        <v>0.093576</v>
      </c>
      <c r="E349">
        <v>0.091649</v>
      </c>
      <c r="G349">
        <v>0.090165</v>
      </c>
      <c r="H349">
        <v>0.090188</v>
      </c>
    </row>
    <row r="350" spans="4:8">
      <c r="D350">
        <v>0.091206</v>
      </c>
      <c r="E350">
        <v>0.08886</v>
      </c>
      <c r="G350">
        <v>0.092896</v>
      </c>
      <c r="H350">
        <v>0.090754</v>
      </c>
    </row>
    <row r="351" spans="4:8">
      <c r="D351">
        <v>0.097563</v>
      </c>
      <c r="E351">
        <v>0.096616</v>
      </c>
      <c r="G351">
        <v>0.095269</v>
      </c>
      <c r="H351">
        <v>0.093323</v>
      </c>
    </row>
    <row r="352" spans="4:8">
      <c r="D352">
        <v>0.092073</v>
      </c>
      <c r="E352">
        <v>0.089833</v>
      </c>
      <c r="G352">
        <v>0.090162</v>
      </c>
      <c r="H352">
        <v>0.088922</v>
      </c>
    </row>
    <row r="353" spans="4:8">
      <c r="D353">
        <v>0.096524</v>
      </c>
      <c r="E353">
        <v>0.093522</v>
      </c>
      <c r="G353">
        <v>0.095084</v>
      </c>
      <c r="H353">
        <v>0.094427</v>
      </c>
    </row>
    <row r="354" spans="4:8">
      <c r="D354">
        <v>0.11311</v>
      </c>
      <c r="E354">
        <v>0.111239</v>
      </c>
      <c r="G354">
        <v>0.089725</v>
      </c>
      <c r="H354">
        <v>0.08716</v>
      </c>
    </row>
    <row r="355" spans="4:8">
      <c r="D355">
        <v>0.106289</v>
      </c>
      <c r="E355">
        <v>0.103065</v>
      </c>
      <c r="G355">
        <v>0.090117</v>
      </c>
      <c r="H355">
        <v>0.087699</v>
      </c>
    </row>
    <row r="356" spans="4:8">
      <c r="D356">
        <v>0.093458</v>
      </c>
      <c r="E356">
        <v>0.09131</v>
      </c>
      <c r="G356">
        <v>0.092505</v>
      </c>
      <c r="H356">
        <v>0.089932</v>
      </c>
    </row>
    <row r="357" spans="4:8">
      <c r="D357">
        <v>0.097535</v>
      </c>
      <c r="E357">
        <v>0.094893</v>
      </c>
      <c r="G357">
        <v>0.099697</v>
      </c>
      <c r="H357">
        <v>0.097626</v>
      </c>
    </row>
    <row r="358" spans="4:8">
      <c r="D358">
        <v>0.110029</v>
      </c>
      <c r="E358">
        <v>0.108805</v>
      </c>
      <c r="G358">
        <v>0.090118</v>
      </c>
      <c r="H358">
        <v>0.086777</v>
      </c>
    </row>
    <row r="359" spans="4:8">
      <c r="D359">
        <v>0.102201</v>
      </c>
      <c r="E359">
        <v>0.100723</v>
      </c>
      <c r="G359">
        <v>0.093477</v>
      </c>
      <c r="H359">
        <v>0.091354</v>
      </c>
    </row>
    <row r="360" spans="4:8">
      <c r="D360">
        <v>0.092032</v>
      </c>
      <c r="E360">
        <v>0.091858</v>
      </c>
      <c r="G360">
        <v>0.088844</v>
      </c>
      <c r="H360">
        <v>0.087671</v>
      </c>
    </row>
    <row r="361" spans="4:8">
      <c r="D361">
        <v>0.095133</v>
      </c>
      <c r="E361">
        <v>0.093226</v>
      </c>
      <c r="G361">
        <v>0.087979</v>
      </c>
      <c r="H361">
        <v>0.08506</v>
      </c>
    </row>
    <row r="362" spans="4:8">
      <c r="D362">
        <v>0.098337</v>
      </c>
      <c r="E362">
        <v>0.096706</v>
      </c>
      <c r="G362">
        <v>0.13163</v>
      </c>
      <c r="H362">
        <v>0.126873</v>
      </c>
    </row>
    <row r="363" spans="4:8">
      <c r="D363">
        <v>0.097612</v>
      </c>
      <c r="E363">
        <v>0.096736</v>
      </c>
      <c r="G363">
        <v>0.090723</v>
      </c>
      <c r="H363">
        <v>0.088607</v>
      </c>
    </row>
    <row r="364" spans="4:8">
      <c r="D364">
        <v>0.09214</v>
      </c>
      <c r="E364">
        <v>0.090787</v>
      </c>
      <c r="G364">
        <v>0.086739</v>
      </c>
      <c r="H364">
        <v>0.084554</v>
      </c>
    </row>
    <row r="365" spans="4:8">
      <c r="D365">
        <v>0.095403</v>
      </c>
      <c r="E365">
        <v>0.091084</v>
      </c>
      <c r="G365">
        <v>0.098658</v>
      </c>
      <c r="H365">
        <v>0.096178</v>
      </c>
    </row>
    <row r="366" spans="4:8">
      <c r="D366">
        <v>0.093274</v>
      </c>
      <c r="E366">
        <v>0.091937</v>
      </c>
      <c r="G366">
        <v>0.087458</v>
      </c>
      <c r="H366">
        <v>0.086026</v>
      </c>
    </row>
    <row r="367" spans="4:8">
      <c r="D367">
        <v>0.104085</v>
      </c>
      <c r="E367">
        <v>0.101374</v>
      </c>
      <c r="G367">
        <v>0.098088</v>
      </c>
      <c r="H367">
        <v>0.096793</v>
      </c>
    </row>
    <row r="368" spans="4:8">
      <c r="D368">
        <v>0.09144</v>
      </c>
      <c r="E368">
        <v>0.088542</v>
      </c>
      <c r="G368">
        <v>0.1039</v>
      </c>
      <c r="H368">
        <v>0.101347</v>
      </c>
    </row>
    <row r="369" spans="4:8">
      <c r="D369">
        <v>0.090093</v>
      </c>
      <c r="E369">
        <v>0.087532</v>
      </c>
      <c r="G369">
        <v>0.085811</v>
      </c>
      <c r="H369">
        <v>0.082328</v>
      </c>
    </row>
    <row r="370" spans="4:8">
      <c r="D370">
        <v>0.090771</v>
      </c>
      <c r="E370">
        <v>0.089184</v>
      </c>
      <c r="G370">
        <v>0.099242</v>
      </c>
      <c r="H370">
        <v>0.095365</v>
      </c>
    </row>
    <row r="371" spans="4:8">
      <c r="D371">
        <v>0.097421</v>
      </c>
      <c r="E371">
        <v>0.095025</v>
      </c>
      <c r="G371">
        <v>0.093034</v>
      </c>
      <c r="H371">
        <v>0.090535</v>
      </c>
    </row>
    <row r="372" spans="4:8">
      <c r="D372">
        <v>0.088448</v>
      </c>
      <c r="E372">
        <v>0.086051</v>
      </c>
      <c r="G372">
        <v>0.100361</v>
      </c>
      <c r="H372">
        <v>0.097361</v>
      </c>
    </row>
    <row r="373" spans="4:8">
      <c r="D373">
        <v>0.091672</v>
      </c>
      <c r="E373">
        <v>0.089233</v>
      </c>
      <c r="G373">
        <v>0.092559</v>
      </c>
      <c r="H373">
        <v>0.089866</v>
      </c>
    </row>
    <row r="374" spans="4:8">
      <c r="D374">
        <v>0.088679</v>
      </c>
      <c r="E374">
        <v>0.086628</v>
      </c>
      <c r="G374">
        <v>0.088638</v>
      </c>
      <c r="H374">
        <v>0.085381</v>
      </c>
    </row>
    <row r="375" spans="4:8">
      <c r="D375">
        <v>0.095982</v>
      </c>
      <c r="E375">
        <v>0.093647</v>
      </c>
      <c r="G375">
        <v>0.095479</v>
      </c>
      <c r="H375">
        <v>0.092386</v>
      </c>
    </row>
    <row r="376" spans="4:8">
      <c r="D376">
        <v>0.101073</v>
      </c>
      <c r="E376">
        <v>0.098669</v>
      </c>
      <c r="G376">
        <v>0.103459</v>
      </c>
      <c r="H376">
        <v>0.103864</v>
      </c>
    </row>
    <row r="377" spans="4:8">
      <c r="D377">
        <v>0.087738</v>
      </c>
      <c r="E377">
        <v>0.08573</v>
      </c>
      <c r="G377">
        <v>0.109539</v>
      </c>
      <c r="H377">
        <v>0.106486</v>
      </c>
    </row>
    <row r="378" spans="4:8">
      <c r="D378">
        <v>0.095472</v>
      </c>
      <c r="E378">
        <v>0.09153</v>
      </c>
      <c r="G378">
        <v>0.099113</v>
      </c>
      <c r="H378">
        <v>0.096727</v>
      </c>
    </row>
    <row r="379" spans="4:8">
      <c r="D379">
        <v>0.098998</v>
      </c>
      <c r="E379">
        <v>0.098184</v>
      </c>
      <c r="G379">
        <v>0.086583</v>
      </c>
      <c r="H379">
        <v>0.084389</v>
      </c>
    </row>
    <row r="380" spans="4:8">
      <c r="D380">
        <v>0.088523</v>
      </c>
      <c r="E380">
        <v>0.086425</v>
      </c>
      <c r="G380">
        <v>0.092555</v>
      </c>
      <c r="H380">
        <v>0.090059</v>
      </c>
    </row>
    <row r="381" spans="4:8">
      <c r="D381">
        <v>0.087881</v>
      </c>
      <c r="E381">
        <v>0.085824</v>
      </c>
      <c r="G381">
        <v>0.092262</v>
      </c>
      <c r="H381">
        <v>0.089469</v>
      </c>
    </row>
    <row r="382" spans="4:8">
      <c r="D382">
        <v>0.108562</v>
      </c>
      <c r="E382">
        <v>0.106681</v>
      </c>
      <c r="G382">
        <v>0.087711</v>
      </c>
      <c r="H382">
        <v>0.085936</v>
      </c>
    </row>
    <row r="383" spans="4:8">
      <c r="D383">
        <v>0.088757</v>
      </c>
      <c r="E383">
        <v>0.087034</v>
      </c>
      <c r="G383">
        <v>0.098234</v>
      </c>
      <c r="H383">
        <v>0.09497</v>
      </c>
    </row>
    <row r="384" spans="4:8">
      <c r="D384">
        <v>0.098313</v>
      </c>
      <c r="E384">
        <v>0.096378</v>
      </c>
      <c r="G384">
        <v>0.0977</v>
      </c>
      <c r="H384">
        <v>0.095199</v>
      </c>
    </row>
    <row r="385" spans="4:8">
      <c r="D385">
        <v>0.088517</v>
      </c>
      <c r="E385">
        <v>0.086494</v>
      </c>
      <c r="G385">
        <v>0.091167</v>
      </c>
      <c r="H385">
        <v>0.089198</v>
      </c>
    </row>
    <row r="386" spans="4:8">
      <c r="D386">
        <v>0.101884</v>
      </c>
      <c r="E386">
        <v>0.100055</v>
      </c>
      <c r="G386">
        <v>0.099965</v>
      </c>
      <c r="H386">
        <v>0.097701</v>
      </c>
    </row>
    <row r="387" spans="4:8">
      <c r="D387">
        <v>0.091141</v>
      </c>
      <c r="E387">
        <v>0.088372</v>
      </c>
      <c r="G387">
        <v>0.09628</v>
      </c>
      <c r="H387">
        <v>0.094678</v>
      </c>
    </row>
    <row r="388" spans="4:8">
      <c r="D388">
        <v>0.104109</v>
      </c>
      <c r="E388">
        <v>0.103114</v>
      </c>
      <c r="G388">
        <v>0.088373</v>
      </c>
      <c r="H388">
        <v>0.085918</v>
      </c>
    </row>
    <row r="389" spans="4:8">
      <c r="D389">
        <v>0.109863</v>
      </c>
      <c r="E389">
        <v>0.108354</v>
      </c>
      <c r="G389">
        <v>0.086775</v>
      </c>
      <c r="H389">
        <v>0.083282</v>
      </c>
    </row>
    <row r="390" spans="4:8">
      <c r="D390">
        <v>0.085438</v>
      </c>
      <c r="E390">
        <v>0.082997</v>
      </c>
      <c r="G390">
        <v>0.096362</v>
      </c>
      <c r="H390">
        <v>0.093999</v>
      </c>
    </row>
    <row r="391" spans="4:8">
      <c r="D391">
        <v>0.098926</v>
      </c>
      <c r="E391">
        <v>0.095071</v>
      </c>
      <c r="G391">
        <v>0.086887</v>
      </c>
      <c r="H391">
        <v>0.084302</v>
      </c>
    </row>
    <row r="392" spans="4:8">
      <c r="D392">
        <v>0.091038</v>
      </c>
      <c r="E392">
        <v>0.088692</v>
      </c>
      <c r="G392">
        <v>0.090186</v>
      </c>
      <c r="H392">
        <v>0.086861</v>
      </c>
    </row>
    <row r="393" spans="4:8">
      <c r="D393">
        <v>0.100456</v>
      </c>
      <c r="E393">
        <v>0.097458</v>
      </c>
      <c r="G393">
        <v>0.090689</v>
      </c>
      <c r="H393">
        <v>0.088496</v>
      </c>
    </row>
    <row r="394" spans="4:8">
      <c r="D394">
        <v>0.089194</v>
      </c>
      <c r="E394">
        <v>0.086613</v>
      </c>
      <c r="G394">
        <v>0.08591</v>
      </c>
      <c r="H394">
        <v>0.08419</v>
      </c>
    </row>
    <row r="395" spans="4:8">
      <c r="D395">
        <v>0.08994</v>
      </c>
      <c r="E395">
        <v>0.087288</v>
      </c>
      <c r="G395">
        <v>0.08934</v>
      </c>
      <c r="H395">
        <v>0.085689</v>
      </c>
    </row>
    <row r="396" spans="4:8">
      <c r="D396">
        <v>0.109921</v>
      </c>
      <c r="E396">
        <v>0.108163</v>
      </c>
      <c r="G396">
        <v>0.102534</v>
      </c>
      <c r="H396">
        <v>0.098255</v>
      </c>
    </row>
    <row r="397" spans="4:8">
      <c r="D397">
        <v>0.092156</v>
      </c>
      <c r="E397">
        <v>0.090461</v>
      </c>
      <c r="G397">
        <v>0.08492</v>
      </c>
      <c r="H397">
        <v>0.082269</v>
      </c>
    </row>
    <row r="398" spans="4:8">
      <c r="D398">
        <v>0.093587</v>
      </c>
      <c r="E398">
        <v>0.090398</v>
      </c>
      <c r="G398">
        <v>0.093043</v>
      </c>
      <c r="H398">
        <v>0.091199</v>
      </c>
    </row>
    <row r="399" spans="4:8">
      <c r="D399">
        <v>0.089367</v>
      </c>
      <c r="E399">
        <v>0.087206</v>
      </c>
      <c r="G399">
        <v>0.088196</v>
      </c>
      <c r="H399">
        <v>0.085395</v>
      </c>
    </row>
    <row r="400" spans="4:8">
      <c r="D400">
        <v>0.094395</v>
      </c>
      <c r="E400">
        <v>0.094465</v>
      </c>
      <c r="G400">
        <v>0.08972</v>
      </c>
      <c r="H400">
        <v>0.086801</v>
      </c>
    </row>
    <row r="401" spans="4:8">
      <c r="D401">
        <v>0.103104</v>
      </c>
      <c r="E401">
        <v>0.101095</v>
      </c>
      <c r="G401">
        <v>0.085266</v>
      </c>
      <c r="H401">
        <v>0.081997</v>
      </c>
    </row>
    <row r="402" spans="4:8">
      <c r="D402">
        <v>0.082769</v>
      </c>
      <c r="E402">
        <v>0.081318</v>
      </c>
      <c r="G402">
        <v>0.091345</v>
      </c>
      <c r="H402">
        <v>0.089115</v>
      </c>
    </row>
    <row r="403" spans="4:8">
      <c r="D403">
        <v>0.089437</v>
      </c>
      <c r="E403">
        <v>0.086905</v>
      </c>
      <c r="G403">
        <v>0.122508</v>
      </c>
      <c r="H403">
        <v>0.120366</v>
      </c>
    </row>
    <row r="404" spans="4:8">
      <c r="D404">
        <v>0.096556</v>
      </c>
      <c r="E404">
        <v>0.094012</v>
      </c>
      <c r="G404">
        <v>0.089075</v>
      </c>
      <c r="H404">
        <v>0.085829</v>
      </c>
    </row>
    <row r="405" spans="4:8">
      <c r="D405">
        <v>0.087051</v>
      </c>
      <c r="E405">
        <v>0.086393</v>
      </c>
      <c r="G405">
        <v>0.090481</v>
      </c>
      <c r="H405">
        <v>0.088377</v>
      </c>
    </row>
    <row r="406" spans="4:8">
      <c r="D406">
        <v>0.09117</v>
      </c>
      <c r="E406">
        <v>0.090268</v>
      </c>
      <c r="G406">
        <v>0.089837</v>
      </c>
      <c r="H406">
        <v>0.086476</v>
      </c>
    </row>
    <row r="407" spans="4:8">
      <c r="D407">
        <v>0.112985</v>
      </c>
      <c r="E407">
        <v>0.112008</v>
      </c>
      <c r="G407">
        <v>0.086265</v>
      </c>
      <c r="H407">
        <v>0.084499</v>
      </c>
    </row>
    <row r="408" spans="4:8">
      <c r="D408">
        <v>0.09297</v>
      </c>
      <c r="E408">
        <v>0.090879</v>
      </c>
      <c r="G408">
        <v>0.090527</v>
      </c>
      <c r="H408">
        <v>0.087817</v>
      </c>
    </row>
    <row r="409" spans="4:8">
      <c r="D409">
        <v>0.08918</v>
      </c>
      <c r="E409">
        <v>0.086971</v>
      </c>
      <c r="G409">
        <v>0.090456</v>
      </c>
      <c r="H409">
        <v>0.089196</v>
      </c>
    </row>
    <row r="410" spans="4:8">
      <c r="D410">
        <v>0.085572</v>
      </c>
      <c r="E410">
        <v>0.082838</v>
      </c>
      <c r="G410">
        <v>0.08852</v>
      </c>
      <c r="H410">
        <v>0.085969</v>
      </c>
    </row>
    <row r="411" spans="4:8">
      <c r="D411">
        <v>0.087414</v>
      </c>
      <c r="E411">
        <v>0.085014</v>
      </c>
      <c r="G411">
        <v>0.088911</v>
      </c>
      <c r="H411">
        <v>0.086559</v>
      </c>
    </row>
    <row r="412" spans="4:8">
      <c r="D412">
        <v>0.09931</v>
      </c>
      <c r="E412">
        <v>0.096667</v>
      </c>
      <c r="G412">
        <v>0.092522</v>
      </c>
      <c r="H412">
        <v>0.088809</v>
      </c>
    </row>
    <row r="413" spans="4:8">
      <c r="D413">
        <v>0.089113</v>
      </c>
      <c r="E413">
        <v>0.08718</v>
      </c>
      <c r="G413">
        <v>0.087764</v>
      </c>
      <c r="H413">
        <v>0.084646</v>
      </c>
    </row>
    <row r="414" spans="4:8">
      <c r="D414">
        <v>0.094375</v>
      </c>
      <c r="E414">
        <v>0.092212</v>
      </c>
      <c r="G414">
        <v>0.089054</v>
      </c>
      <c r="H414">
        <v>0.086327</v>
      </c>
    </row>
    <row r="415" spans="4:8">
      <c r="D415">
        <v>0.088727</v>
      </c>
      <c r="E415">
        <v>0.087326</v>
      </c>
      <c r="G415">
        <v>0.085034</v>
      </c>
      <c r="H415">
        <v>0.082441</v>
      </c>
    </row>
    <row r="416" spans="4:8">
      <c r="D416">
        <v>0.089053</v>
      </c>
      <c r="E416">
        <v>0.087188</v>
      </c>
      <c r="G416">
        <v>0.08902</v>
      </c>
      <c r="H416">
        <v>0.086841</v>
      </c>
    </row>
    <row r="417" spans="4:8">
      <c r="D417">
        <v>0.091589</v>
      </c>
      <c r="E417">
        <v>0.092433</v>
      </c>
      <c r="G417">
        <v>0.082354</v>
      </c>
      <c r="H417">
        <v>0.082968</v>
      </c>
    </row>
    <row r="418" spans="4:8">
      <c r="D418">
        <v>0.093185</v>
      </c>
      <c r="E418">
        <v>0.090389</v>
      </c>
      <c r="G418">
        <v>0.08628</v>
      </c>
      <c r="H418">
        <v>0.084401</v>
      </c>
    </row>
    <row r="419" spans="4:8">
      <c r="D419">
        <v>0.085108</v>
      </c>
      <c r="E419">
        <v>0.082646</v>
      </c>
      <c r="G419">
        <v>0.090796</v>
      </c>
      <c r="H419">
        <v>0.088305</v>
      </c>
    </row>
    <row r="420" spans="4:8">
      <c r="D420">
        <v>0.088862</v>
      </c>
      <c r="E420">
        <v>0.087687</v>
      </c>
      <c r="G420">
        <v>0.091007</v>
      </c>
      <c r="H420">
        <v>0.089048</v>
      </c>
    </row>
    <row r="421" spans="4:8">
      <c r="D421">
        <v>0.082749</v>
      </c>
      <c r="E421">
        <v>0.082196</v>
      </c>
      <c r="G421">
        <v>0.087141</v>
      </c>
      <c r="H421">
        <v>0.084488</v>
      </c>
    </row>
    <row r="422" spans="4:8">
      <c r="D422">
        <v>0.089289</v>
      </c>
      <c r="E422">
        <v>0.086951</v>
      </c>
      <c r="G422">
        <v>0.089289</v>
      </c>
      <c r="H422">
        <v>0.088245</v>
      </c>
    </row>
    <row r="423" spans="4:8">
      <c r="D423">
        <v>0.097598</v>
      </c>
      <c r="E423">
        <v>0.094998</v>
      </c>
      <c r="G423">
        <v>0.09355</v>
      </c>
      <c r="H423">
        <v>0.091443</v>
      </c>
    </row>
    <row r="424" spans="4:8">
      <c r="D424">
        <v>0.096132</v>
      </c>
      <c r="E424">
        <v>0.093755</v>
      </c>
      <c r="G424">
        <v>0.084209</v>
      </c>
      <c r="H424">
        <v>0.081992</v>
      </c>
    </row>
    <row r="425" spans="4:8">
      <c r="D425">
        <v>0.093496</v>
      </c>
      <c r="E425">
        <v>0.091327</v>
      </c>
      <c r="G425">
        <v>0.087897</v>
      </c>
      <c r="H425">
        <v>0.085457</v>
      </c>
    </row>
    <row r="426" spans="4:8">
      <c r="D426">
        <v>0.086721</v>
      </c>
      <c r="E426">
        <v>0.084883</v>
      </c>
      <c r="G426">
        <v>0.093811</v>
      </c>
      <c r="H426">
        <v>0.091567</v>
      </c>
    </row>
    <row r="427" spans="4:8">
      <c r="D427">
        <v>0.086203</v>
      </c>
      <c r="E427">
        <v>0.082832</v>
      </c>
      <c r="G427">
        <v>0.084306</v>
      </c>
      <c r="H427">
        <v>0.082007</v>
      </c>
    </row>
    <row r="428" spans="4:8">
      <c r="D428">
        <v>0.089649</v>
      </c>
      <c r="E428">
        <v>0.086542</v>
      </c>
      <c r="G428">
        <v>0.086594</v>
      </c>
      <c r="H428">
        <v>0.083439</v>
      </c>
    </row>
    <row r="429" spans="4:8">
      <c r="D429">
        <v>0.090634</v>
      </c>
      <c r="E429">
        <v>0.088899</v>
      </c>
      <c r="G429">
        <v>0.084159</v>
      </c>
      <c r="H429">
        <v>0.082159</v>
      </c>
    </row>
    <row r="430" spans="4:8">
      <c r="D430">
        <v>0.087189</v>
      </c>
      <c r="E430">
        <v>0.085007</v>
      </c>
      <c r="G430">
        <v>0.084733</v>
      </c>
      <c r="H430">
        <v>0.081457</v>
      </c>
    </row>
    <row r="431" spans="4:8">
      <c r="D431">
        <v>0.086904</v>
      </c>
      <c r="E431">
        <v>0.085594</v>
      </c>
      <c r="G431">
        <v>0.084083</v>
      </c>
      <c r="H431">
        <v>0.080039</v>
      </c>
    </row>
    <row r="432" spans="4:8">
      <c r="D432">
        <v>0.090284</v>
      </c>
      <c r="E432">
        <v>0.087618</v>
      </c>
      <c r="G432">
        <v>0.089542</v>
      </c>
      <c r="H432">
        <v>0.086177</v>
      </c>
    </row>
    <row r="433" spans="4:8">
      <c r="D433">
        <v>0.093066</v>
      </c>
      <c r="E433">
        <v>0.092697</v>
      </c>
      <c r="G433">
        <v>0.089173</v>
      </c>
      <c r="H433">
        <v>0.089112</v>
      </c>
    </row>
    <row r="434" spans="4:8">
      <c r="D434">
        <v>0.083527</v>
      </c>
      <c r="E434">
        <v>0.082428</v>
      </c>
      <c r="G434">
        <v>0.093376</v>
      </c>
      <c r="H434">
        <v>0.091521</v>
      </c>
    </row>
    <row r="435" spans="4:8">
      <c r="D435">
        <v>0.084081</v>
      </c>
      <c r="E435">
        <v>0.08257</v>
      </c>
      <c r="G435">
        <v>0.086852</v>
      </c>
      <c r="H435">
        <v>0.084175</v>
      </c>
    </row>
    <row r="436" spans="4:8">
      <c r="D436">
        <v>0.085959</v>
      </c>
      <c r="E436">
        <v>0.085387</v>
      </c>
      <c r="G436">
        <v>0.0832</v>
      </c>
      <c r="H436">
        <v>0.080433</v>
      </c>
    </row>
    <row r="437" spans="4:8">
      <c r="D437">
        <v>0.095279</v>
      </c>
      <c r="E437">
        <v>0.093202</v>
      </c>
      <c r="G437">
        <v>0.085104</v>
      </c>
      <c r="H437">
        <v>0.082408</v>
      </c>
    </row>
    <row r="438" spans="4:8">
      <c r="D438">
        <v>0.083751</v>
      </c>
      <c r="E438">
        <v>0.082255</v>
      </c>
      <c r="G438">
        <v>0.091718</v>
      </c>
      <c r="H438">
        <v>0.089066</v>
      </c>
    </row>
    <row r="439" spans="4:8">
      <c r="D439">
        <v>0.094075</v>
      </c>
      <c r="E439">
        <v>0.09207</v>
      </c>
      <c r="G439">
        <v>0.094548</v>
      </c>
      <c r="H439">
        <v>0.092236</v>
      </c>
    </row>
    <row r="440" spans="4:8">
      <c r="D440">
        <v>0.085067</v>
      </c>
      <c r="E440">
        <v>0.08285</v>
      </c>
      <c r="G440">
        <v>0.082744</v>
      </c>
      <c r="H440">
        <v>0.078834</v>
      </c>
    </row>
    <row r="441" spans="4:8">
      <c r="D441">
        <v>0.088235</v>
      </c>
      <c r="E441">
        <v>0.086141</v>
      </c>
      <c r="G441">
        <v>0.085333</v>
      </c>
      <c r="H441">
        <v>0.08315</v>
      </c>
    </row>
    <row r="442" spans="4:8">
      <c r="D442">
        <v>0.085852</v>
      </c>
      <c r="E442">
        <v>0.082568</v>
      </c>
      <c r="G442">
        <v>0.079905</v>
      </c>
      <c r="H442">
        <v>0.077964</v>
      </c>
    </row>
    <row r="443" spans="4:8">
      <c r="D443">
        <v>0.083961</v>
      </c>
      <c r="E443">
        <v>0.081864</v>
      </c>
      <c r="G443">
        <v>0.089701</v>
      </c>
      <c r="H443">
        <v>0.088373</v>
      </c>
    </row>
    <row r="444" spans="4:8">
      <c r="D444">
        <v>0.088554</v>
      </c>
      <c r="E444">
        <v>0.085523</v>
      </c>
      <c r="G444">
        <v>0.086266</v>
      </c>
      <c r="H444">
        <v>0.083816</v>
      </c>
    </row>
    <row r="445" spans="4:8">
      <c r="D445">
        <v>0.083178</v>
      </c>
      <c r="E445">
        <v>0.080725</v>
      </c>
      <c r="G445">
        <v>0.083772</v>
      </c>
      <c r="H445">
        <v>0.081598</v>
      </c>
    </row>
    <row r="446" spans="4:8">
      <c r="D446">
        <v>0.108056</v>
      </c>
      <c r="E446">
        <v>0.105754</v>
      </c>
      <c r="G446">
        <v>0.084834</v>
      </c>
      <c r="H446">
        <v>0.080993</v>
      </c>
    </row>
    <row r="447" spans="4:8">
      <c r="D447">
        <v>0.085064</v>
      </c>
      <c r="E447">
        <v>0.08167</v>
      </c>
      <c r="G447">
        <v>0.088399</v>
      </c>
      <c r="H447">
        <v>0.085578</v>
      </c>
    </row>
    <row r="448" spans="4:8">
      <c r="D448">
        <v>0.100155</v>
      </c>
      <c r="E448">
        <v>0.098306</v>
      </c>
      <c r="G448">
        <v>0.085736</v>
      </c>
      <c r="H448">
        <v>0.084464</v>
      </c>
    </row>
    <row r="449" spans="4:8">
      <c r="D449">
        <v>0.094949</v>
      </c>
      <c r="E449">
        <v>0.093582</v>
      </c>
      <c r="G449">
        <v>0.082913</v>
      </c>
      <c r="H449">
        <v>0.081386</v>
      </c>
    </row>
    <row r="450" spans="4:8">
      <c r="D450">
        <v>0.087383</v>
      </c>
      <c r="E450">
        <v>0.085583</v>
      </c>
      <c r="G450">
        <v>0.087617</v>
      </c>
      <c r="H450">
        <v>0.084544</v>
      </c>
    </row>
    <row r="451" spans="4:8">
      <c r="D451">
        <v>0.084807</v>
      </c>
      <c r="E451">
        <v>0.081115</v>
      </c>
      <c r="G451">
        <v>0.082143</v>
      </c>
      <c r="H451">
        <v>0.080177</v>
      </c>
    </row>
    <row r="452" spans="4:8">
      <c r="D452">
        <v>0.087407</v>
      </c>
      <c r="E452">
        <v>0.088611</v>
      </c>
      <c r="G452">
        <v>0.080227</v>
      </c>
      <c r="H452">
        <v>0.078388</v>
      </c>
    </row>
    <row r="453" spans="4:8">
      <c r="D453">
        <v>0.085208</v>
      </c>
      <c r="E453">
        <v>0.082777</v>
      </c>
      <c r="G453">
        <v>0.091554</v>
      </c>
      <c r="H453">
        <v>0.088558</v>
      </c>
    </row>
    <row r="454" spans="4:8">
      <c r="D454">
        <v>0.088699</v>
      </c>
      <c r="E454">
        <v>0.087568</v>
      </c>
      <c r="G454">
        <v>0.084869</v>
      </c>
      <c r="H454">
        <v>0.084222</v>
      </c>
    </row>
    <row r="455" spans="4:8">
      <c r="D455">
        <v>0.09991</v>
      </c>
      <c r="E455">
        <v>0.098528</v>
      </c>
      <c r="G455">
        <v>0.088167</v>
      </c>
      <c r="H455">
        <v>0.085668</v>
      </c>
    </row>
    <row r="456" spans="4:8">
      <c r="D456">
        <v>0.083101</v>
      </c>
      <c r="E456">
        <v>0.081496</v>
      </c>
      <c r="G456">
        <v>0.08349</v>
      </c>
      <c r="H456">
        <v>0.08174</v>
      </c>
    </row>
    <row r="457" spans="4:8">
      <c r="D457">
        <v>0.085459</v>
      </c>
      <c r="E457">
        <v>0.083141</v>
      </c>
      <c r="G457">
        <v>0.089117</v>
      </c>
      <c r="H457">
        <v>0.086976</v>
      </c>
    </row>
    <row r="458" spans="4:8">
      <c r="D458">
        <v>0.083417</v>
      </c>
      <c r="E458">
        <v>0.080358</v>
      </c>
      <c r="G458">
        <v>0.091236</v>
      </c>
      <c r="H458">
        <v>0.08938</v>
      </c>
    </row>
    <row r="459" spans="4:8">
      <c r="D459">
        <v>0.096662</v>
      </c>
      <c r="E459">
        <v>0.094614</v>
      </c>
      <c r="G459">
        <v>0.082769</v>
      </c>
      <c r="H459">
        <v>0.080052</v>
      </c>
    </row>
    <row r="460" spans="4:8">
      <c r="D460">
        <v>0.083441</v>
      </c>
      <c r="E460">
        <v>0.082241</v>
      </c>
      <c r="G460">
        <v>0.087767</v>
      </c>
      <c r="H460">
        <v>0.084893</v>
      </c>
    </row>
    <row r="461" spans="4:8">
      <c r="D461">
        <v>0.08139</v>
      </c>
      <c r="E461">
        <v>0.080967</v>
      </c>
      <c r="G461">
        <v>0.083404</v>
      </c>
      <c r="H461">
        <v>0.079969</v>
      </c>
    </row>
    <row r="462" spans="4:8">
      <c r="D462">
        <v>0.08243</v>
      </c>
      <c r="E462">
        <v>0.080831</v>
      </c>
      <c r="G462">
        <v>0.087594</v>
      </c>
      <c r="H462">
        <v>0.084109</v>
      </c>
    </row>
    <row r="463" spans="4:8">
      <c r="D463">
        <v>0.081978</v>
      </c>
      <c r="E463">
        <v>0.080366</v>
      </c>
      <c r="G463">
        <v>0.081204</v>
      </c>
      <c r="H463">
        <v>0.07796</v>
      </c>
    </row>
    <row r="464" spans="4:8">
      <c r="D464">
        <v>0.085363</v>
      </c>
      <c r="E464">
        <v>0.08296</v>
      </c>
      <c r="G464">
        <v>0.083078</v>
      </c>
      <c r="H464">
        <v>0.079358</v>
      </c>
    </row>
    <row r="465" spans="4:8">
      <c r="D465">
        <v>0.085955</v>
      </c>
      <c r="E465">
        <v>0.08307</v>
      </c>
      <c r="G465">
        <v>0.083362</v>
      </c>
      <c r="H465">
        <v>0.081336</v>
      </c>
    </row>
    <row r="466" spans="4:8">
      <c r="D466">
        <v>0.090766</v>
      </c>
      <c r="E466">
        <v>0.08752</v>
      </c>
      <c r="G466">
        <v>0.081558</v>
      </c>
      <c r="H466">
        <v>0.079924</v>
      </c>
    </row>
    <row r="467" spans="4:8">
      <c r="D467">
        <v>0.087045</v>
      </c>
      <c r="E467">
        <v>0.085242</v>
      </c>
      <c r="G467">
        <v>0.084279</v>
      </c>
      <c r="H467">
        <v>0.081801</v>
      </c>
    </row>
    <row r="468" spans="4:8">
      <c r="D468">
        <v>0.091441</v>
      </c>
      <c r="E468">
        <v>0.089256</v>
      </c>
      <c r="G468">
        <v>0.08371</v>
      </c>
      <c r="H468">
        <v>0.082721</v>
      </c>
    </row>
    <row r="469" spans="4:8">
      <c r="D469">
        <v>0.084519</v>
      </c>
      <c r="E469">
        <v>0.082324</v>
      </c>
      <c r="G469">
        <v>0.080988</v>
      </c>
      <c r="H469">
        <v>0.079262</v>
      </c>
    </row>
    <row r="470" spans="4:8">
      <c r="D470">
        <v>0.086611</v>
      </c>
      <c r="E470">
        <v>0.083967</v>
      </c>
      <c r="G470">
        <v>0.084599</v>
      </c>
      <c r="H470">
        <v>0.082708</v>
      </c>
    </row>
    <row r="471" spans="4:8">
      <c r="D471">
        <v>0.083475</v>
      </c>
      <c r="E471">
        <v>0.081485</v>
      </c>
      <c r="G471">
        <v>0.082855</v>
      </c>
      <c r="H471">
        <v>0.079256</v>
      </c>
    </row>
    <row r="472" spans="4:8">
      <c r="D472">
        <v>0.084905</v>
      </c>
      <c r="E472">
        <v>0.084314</v>
      </c>
      <c r="G472">
        <v>0.084327</v>
      </c>
      <c r="H472">
        <v>0.082535</v>
      </c>
    </row>
    <row r="473" spans="4:8">
      <c r="D473">
        <v>0.092694</v>
      </c>
      <c r="E473">
        <v>0.08937</v>
      </c>
      <c r="G473">
        <v>0.081223</v>
      </c>
      <c r="H473">
        <v>0.078738</v>
      </c>
    </row>
    <row r="474" spans="4:8">
      <c r="D474">
        <v>0.086292</v>
      </c>
      <c r="E474">
        <v>0.08578</v>
      </c>
      <c r="G474">
        <v>0.092302</v>
      </c>
      <c r="H474">
        <v>0.090995</v>
      </c>
    </row>
    <row r="475" spans="4:8">
      <c r="D475">
        <v>0.091147</v>
      </c>
      <c r="E475">
        <v>0.088254</v>
      </c>
      <c r="G475">
        <v>0.084619</v>
      </c>
      <c r="H475">
        <v>0.081616</v>
      </c>
    </row>
    <row r="476" spans="4:8">
      <c r="D476">
        <v>0.103377</v>
      </c>
      <c r="E476">
        <v>0.100827</v>
      </c>
      <c r="G476">
        <v>0.079971</v>
      </c>
      <c r="H476">
        <v>0.077041</v>
      </c>
    </row>
    <row r="477" spans="4:8">
      <c r="D477">
        <v>0.080851</v>
      </c>
      <c r="E477">
        <v>0.078416</v>
      </c>
      <c r="G477">
        <v>0.093043</v>
      </c>
      <c r="H477">
        <v>0.088336</v>
      </c>
    </row>
    <row r="478" spans="4:8">
      <c r="D478">
        <v>0.082007</v>
      </c>
      <c r="E478">
        <v>0.080025</v>
      </c>
      <c r="G478">
        <v>0.085856</v>
      </c>
      <c r="H478">
        <v>0.083742</v>
      </c>
    </row>
    <row r="479" spans="4:8">
      <c r="D479">
        <v>0.083127</v>
      </c>
      <c r="E479">
        <v>0.081567</v>
      </c>
      <c r="G479">
        <v>0.080081</v>
      </c>
      <c r="H479">
        <v>0.077116</v>
      </c>
    </row>
    <row r="480" spans="4:8">
      <c r="D480">
        <v>0.084133</v>
      </c>
      <c r="E480">
        <v>0.081453</v>
      </c>
      <c r="G480">
        <v>0.081736</v>
      </c>
      <c r="H480">
        <v>0.07855</v>
      </c>
    </row>
    <row r="481" spans="4:8">
      <c r="D481">
        <v>0.081926</v>
      </c>
      <c r="E481">
        <v>0.080658</v>
      </c>
      <c r="G481">
        <v>0.092345</v>
      </c>
      <c r="H481">
        <v>0.090387</v>
      </c>
    </row>
    <row r="482" spans="4:8">
      <c r="D482">
        <v>0.087036</v>
      </c>
      <c r="E482">
        <v>0.083947</v>
      </c>
      <c r="G482">
        <v>0.082791</v>
      </c>
      <c r="H482">
        <v>0.07913</v>
      </c>
    </row>
    <row r="483" spans="4:8">
      <c r="D483">
        <v>0.080101</v>
      </c>
      <c r="E483">
        <v>0.07885</v>
      </c>
      <c r="G483">
        <v>0.079967</v>
      </c>
      <c r="H483">
        <v>0.076933</v>
      </c>
    </row>
    <row r="484" spans="4:8">
      <c r="D484">
        <v>0.080865</v>
      </c>
      <c r="E484">
        <v>0.07878</v>
      </c>
      <c r="G484">
        <v>0.082624</v>
      </c>
      <c r="H484">
        <v>0.080272</v>
      </c>
    </row>
    <row r="485" spans="4:8">
      <c r="D485">
        <v>0.090163</v>
      </c>
      <c r="E485">
        <v>0.08981</v>
      </c>
      <c r="G485">
        <v>0.082527</v>
      </c>
      <c r="H485">
        <v>0.078913</v>
      </c>
    </row>
    <row r="486" spans="4:8">
      <c r="D486">
        <v>0.08152</v>
      </c>
      <c r="E486">
        <v>0.079495</v>
      </c>
      <c r="G486">
        <v>0.080002</v>
      </c>
      <c r="H486">
        <v>0.07726</v>
      </c>
    </row>
    <row r="487" spans="4:8">
      <c r="D487">
        <v>0.081844</v>
      </c>
      <c r="E487">
        <v>0.080229</v>
      </c>
      <c r="G487">
        <v>0.086225</v>
      </c>
      <c r="H487">
        <v>0.084043</v>
      </c>
    </row>
    <row r="488" spans="4:8">
      <c r="D488">
        <v>0.083654</v>
      </c>
      <c r="E488">
        <v>0.082619</v>
      </c>
      <c r="G488">
        <v>0.085097</v>
      </c>
      <c r="H488">
        <v>0.083471</v>
      </c>
    </row>
    <row r="489" spans="4:8">
      <c r="D489">
        <v>0.087403</v>
      </c>
      <c r="E489">
        <v>0.085644</v>
      </c>
      <c r="G489">
        <v>0.08553</v>
      </c>
      <c r="H489">
        <v>0.083704</v>
      </c>
    </row>
    <row r="490" spans="4:8">
      <c r="D490">
        <v>0.081756</v>
      </c>
      <c r="E490">
        <v>0.079431</v>
      </c>
      <c r="G490">
        <v>0.08515</v>
      </c>
      <c r="H490">
        <v>0.081735</v>
      </c>
    </row>
    <row r="491" spans="4:8">
      <c r="D491">
        <v>0.089142</v>
      </c>
      <c r="E491">
        <v>0.086106</v>
      </c>
      <c r="G491">
        <v>0.08307</v>
      </c>
      <c r="H491">
        <v>0.080411</v>
      </c>
    </row>
    <row r="492" spans="4:8">
      <c r="D492">
        <v>0.091736</v>
      </c>
      <c r="E492">
        <v>0.08948</v>
      </c>
      <c r="G492">
        <v>0.081258</v>
      </c>
      <c r="H492">
        <v>0.078302</v>
      </c>
    </row>
    <row r="493" spans="4:8">
      <c r="D493">
        <v>0.085246</v>
      </c>
      <c r="E493">
        <v>0.082999</v>
      </c>
      <c r="G493">
        <v>0.090438</v>
      </c>
      <c r="H493">
        <v>0.088465</v>
      </c>
    </row>
    <row r="494" spans="4:8">
      <c r="D494">
        <v>0.090641</v>
      </c>
      <c r="E494">
        <v>0.089439</v>
      </c>
      <c r="G494">
        <v>0.083977</v>
      </c>
      <c r="H494">
        <v>0.081065</v>
      </c>
    </row>
    <row r="495" spans="4:8">
      <c r="D495">
        <v>0.080433</v>
      </c>
      <c r="E495">
        <v>0.078995</v>
      </c>
      <c r="G495">
        <v>0.082321</v>
      </c>
      <c r="H495">
        <v>0.081615</v>
      </c>
    </row>
    <row r="496" spans="4:8">
      <c r="D496">
        <v>0.091656</v>
      </c>
      <c r="E496">
        <v>0.089378</v>
      </c>
      <c r="G496">
        <v>0.083356</v>
      </c>
      <c r="H496">
        <v>0.080461</v>
      </c>
    </row>
    <row r="497" spans="4:8">
      <c r="D497">
        <v>0.080631</v>
      </c>
      <c r="E497">
        <v>0.080115</v>
      </c>
      <c r="G497">
        <v>0.081372</v>
      </c>
      <c r="H497">
        <v>0.078721</v>
      </c>
    </row>
    <row r="498" spans="4:8">
      <c r="D498">
        <v>0.086973</v>
      </c>
      <c r="E498">
        <v>0.085124</v>
      </c>
      <c r="G498">
        <v>0.092596</v>
      </c>
      <c r="H498">
        <v>0.091066</v>
      </c>
    </row>
    <row r="499" spans="4:8">
      <c r="D499">
        <v>0.081036</v>
      </c>
      <c r="E499">
        <v>0.079192</v>
      </c>
      <c r="G499">
        <v>0.079142</v>
      </c>
      <c r="H499">
        <v>0.076118</v>
      </c>
    </row>
    <row r="500" spans="4:8">
      <c r="D500">
        <v>0.082241</v>
      </c>
      <c r="E500">
        <v>0.08087</v>
      </c>
      <c r="G500">
        <v>0.084707</v>
      </c>
      <c r="H500">
        <v>0.082132</v>
      </c>
    </row>
    <row r="501" spans="4:8">
      <c r="D501">
        <v>0.081026</v>
      </c>
      <c r="E501">
        <v>0.078572</v>
      </c>
      <c r="G501">
        <v>0.080919</v>
      </c>
      <c r="H501">
        <v>0.077659</v>
      </c>
    </row>
    <row r="502" spans="4:8">
      <c r="D502">
        <v>0.083055</v>
      </c>
      <c r="E502">
        <v>0.080979</v>
      </c>
      <c r="G502">
        <v>0.083009</v>
      </c>
      <c r="H502">
        <v>0.080115</v>
      </c>
    </row>
    <row r="503" spans="4:8">
      <c r="D503">
        <v>0.081298</v>
      </c>
      <c r="E503">
        <v>0.07993</v>
      </c>
      <c r="G503">
        <v>0.079073</v>
      </c>
      <c r="H503">
        <v>0.075842</v>
      </c>
    </row>
    <row r="504" spans="4:8">
      <c r="D504">
        <v>0.080617</v>
      </c>
      <c r="E504">
        <v>0.078407</v>
      </c>
      <c r="G504">
        <v>0.081233</v>
      </c>
      <c r="H504">
        <v>0.078266</v>
      </c>
    </row>
    <row r="505" spans="4:8">
      <c r="D505">
        <v>0.081007</v>
      </c>
      <c r="E505">
        <v>0.079152</v>
      </c>
      <c r="G505">
        <v>0.084092</v>
      </c>
      <c r="H505">
        <v>0.081955</v>
      </c>
    </row>
    <row r="506" spans="4:8">
      <c r="D506">
        <v>0.084848</v>
      </c>
      <c r="E506">
        <v>0.083001</v>
      </c>
      <c r="G506">
        <v>0.079383</v>
      </c>
      <c r="H506">
        <v>0.077084</v>
      </c>
    </row>
    <row r="507" spans="4:8">
      <c r="D507">
        <v>0.081364</v>
      </c>
      <c r="E507">
        <v>0.078655</v>
      </c>
      <c r="G507">
        <v>0.079147</v>
      </c>
      <c r="H507">
        <v>0.076763</v>
      </c>
    </row>
    <row r="508" spans="4:8">
      <c r="D508">
        <v>0.079437</v>
      </c>
      <c r="E508">
        <v>0.077329</v>
      </c>
      <c r="G508">
        <v>0.082012</v>
      </c>
      <c r="H508">
        <v>0.079669</v>
      </c>
    </row>
    <row r="509" spans="4:8">
      <c r="D509">
        <v>0.083963</v>
      </c>
      <c r="E509">
        <v>0.080825</v>
      </c>
      <c r="G509">
        <v>0.07871</v>
      </c>
      <c r="H509">
        <v>0.07539</v>
      </c>
    </row>
    <row r="510" spans="4:8">
      <c r="D510">
        <v>0.084076</v>
      </c>
      <c r="E510">
        <v>0.08178</v>
      </c>
      <c r="G510">
        <v>0.080164</v>
      </c>
      <c r="H510">
        <v>0.077549</v>
      </c>
    </row>
    <row r="511" spans="4:8">
      <c r="D511">
        <v>0.081766</v>
      </c>
      <c r="E511">
        <v>0.080337</v>
      </c>
      <c r="G511">
        <v>0.081319</v>
      </c>
      <c r="H511">
        <v>0.078353</v>
      </c>
    </row>
    <row r="512" spans="4:8">
      <c r="D512">
        <v>0.083888</v>
      </c>
      <c r="E512">
        <v>0.083934</v>
      </c>
      <c r="G512">
        <v>0.078035</v>
      </c>
      <c r="H512">
        <v>0.077389</v>
      </c>
    </row>
    <row r="513" spans="4:8">
      <c r="D513">
        <v>0.080341</v>
      </c>
      <c r="E513">
        <v>0.0781</v>
      </c>
      <c r="G513">
        <v>0.08485</v>
      </c>
      <c r="H513">
        <v>0.081503</v>
      </c>
    </row>
    <row r="514" spans="4:8">
      <c r="D514">
        <v>0.079165</v>
      </c>
      <c r="E514">
        <v>0.077531</v>
      </c>
      <c r="G514">
        <v>0.080601</v>
      </c>
      <c r="H514">
        <v>0.077777</v>
      </c>
    </row>
    <row r="515" spans="4:8">
      <c r="D515">
        <v>0.079662</v>
      </c>
      <c r="E515">
        <v>0.077184</v>
      </c>
      <c r="G515">
        <v>0.081673</v>
      </c>
      <c r="H515">
        <v>0.080287</v>
      </c>
    </row>
    <row r="516" spans="4:8">
      <c r="D516">
        <v>0.087351</v>
      </c>
      <c r="E516">
        <v>0.086153</v>
      </c>
      <c r="G516">
        <v>0.081141</v>
      </c>
      <c r="H516">
        <v>0.078241</v>
      </c>
    </row>
    <row r="517" spans="4:8">
      <c r="D517">
        <v>0.079683</v>
      </c>
      <c r="E517">
        <v>0.077857</v>
      </c>
      <c r="G517">
        <v>0.078881</v>
      </c>
      <c r="H517">
        <v>0.075859</v>
      </c>
    </row>
    <row r="518" spans="4:8">
      <c r="D518">
        <v>0.082367</v>
      </c>
      <c r="E518">
        <v>0.082174</v>
      </c>
      <c r="G518">
        <v>0.078811</v>
      </c>
      <c r="H518">
        <v>0.077379</v>
      </c>
    </row>
    <row r="519" spans="4:8">
      <c r="D519">
        <v>0.083734</v>
      </c>
      <c r="E519">
        <v>0.081677</v>
      </c>
      <c r="G519">
        <v>0.082886</v>
      </c>
      <c r="H519">
        <v>0.080227</v>
      </c>
    </row>
    <row r="520" spans="4:8">
      <c r="D520">
        <v>0.078587</v>
      </c>
      <c r="E520">
        <v>0.076517</v>
      </c>
      <c r="G520">
        <v>0.077565</v>
      </c>
      <c r="H520">
        <v>0.075275</v>
      </c>
    </row>
    <row r="521" spans="4:8">
      <c r="D521">
        <v>0.079378</v>
      </c>
      <c r="E521">
        <v>0.077108</v>
      </c>
      <c r="G521">
        <v>0.086836</v>
      </c>
      <c r="H521">
        <v>0.084456</v>
      </c>
    </row>
    <row r="522" spans="4:8">
      <c r="D522">
        <v>0.08671</v>
      </c>
      <c r="E522">
        <v>0.084399</v>
      </c>
      <c r="G522">
        <v>0.082086</v>
      </c>
      <c r="H522">
        <v>0.078808</v>
      </c>
    </row>
    <row r="523" spans="4:8">
      <c r="D523">
        <v>0.078371</v>
      </c>
      <c r="E523">
        <v>0.07548</v>
      </c>
      <c r="G523">
        <v>0.086887</v>
      </c>
      <c r="H523">
        <v>0.08343</v>
      </c>
    </row>
    <row r="524" spans="4:8">
      <c r="D524">
        <v>0.079714</v>
      </c>
      <c r="E524">
        <v>0.077436</v>
      </c>
      <c r="G524">
        <v>0.078763</v>
      </c>
      <c r="H524">
        <v>0.076162</v>
      </c>
    </row>
    <row r="525" spans="4:8">
      <c r="D525">
        <v>0.078578</v>
      </c>
      <c r="E525">
        <v>0.076486</v>
      </c>
      <c r="G525">
        <v>0.078547</v>
      </c>
      <c r="H525">
        <v>0.075395</v>
      </c>
    </row>
    <row r="526" spans="4:8">
      <c r="D526">
        <v>0.079451</v>
      </c>
      <c r="E526">
        <v>0.078315</v>
      </c>
      <c r="G526">
        <v>0.079872</v>
      </c>
      <c r="H526">
        <v>0.076088</v>
      </c>
    </row>
    <row r="527" spans="4:8">
      <c r="D527">
        <v>0.079276</v>
      </c>
      <c r="E527">
        <v>0.078533</v>
      </c>
      <c r="G527">
        <v>0.078673</v>
      </c>
      <c r="H527">
        <v>0.076786</v>
      </c>
    </row>
    <row r="528" spans="4:8">
      <c r="D528">
        <v>0.077922</v>
      </c>
      <c r="E528">
        <v>0.076621</v>
      </c>
      <c r="G528">
        <v>0.077526</v>
      </c>
      <c r="H528">
        <v>0.074171</v>
      </c>
    </row>
    <row r="529" spans="4:8">
      <c r="D529">
        <v>0.079595</v>
      </c>
      <c r="E529">
        <v>0.078454</v>
      </c>
      <c r="G529">
        <v>0.081038</v>
      </c>
      <c r="H529">
        <v>0.080017</v>
      </c>
    </row>
    <row r="530" spans="4:8">
      <c r="D530">
        <v>0.086644</v>
      </c>
      <c r="E530">
        <v>0.084326</v>
      </c>
      <c r="G530">
        <v>0.082076</v>
      </c>
      <c r="H530">
        <v>0.079596</v>
      </c>
    </row>
    <row r="531" spans="4:8">
      <c r="D531">
        <v>0.078919</v>
      </c>
      <c r="E531">
        <v>0.077756</v>
      </c>
      <c r="G531">
        <v>0.079127</v>
      </c>
      <c r="H531">
        <v>0.076484</v>
      </c>
    </row>
    <row r="532" spans="4:8">
      <c r="D532">
        <v>0.078221</v>
      </c>
      <c r="E532">
        <v>0.075889</v>
      </c>
      <c r="G532">
        <v>0.080849</v>
      </c>
      <c r="H532">
        <v>0.078626</v>
      </c>
    </row>
    <row r="533" spans="4:8">
      <c r="D533">
        <v>0.081531</v>
      </c>
      <c r="E533">
        <v>0.079937</v>
      </c>
      <c r="G533">
        <v>0.084393</v>
      </c>
      <c r="H533">
        <v>0.082248</v>
      </c>
    </row>
    <row r="534" spans="4:8">
      <c r="D534">
        <v>0.080118</v>
      </c>
      <c r="E534">
        <v>0.078547</v>
      </c>
      <c r="G534">
        <v>0.083342</v>
      </c>
      <c r="H534">
        <v>0.080388</v>
      </c>
    </row>
    <row r="535" spans="4:8">
      <c r="D535">
        <v>0.080101</v>
      </c>
      <c r="E535">
        <v>0.076835</v>
      </c>
      <c r="G535">
        <v>0.079026</v>
      </c>
      <c r="H535">
        <v>0.076791</v>
      </c>
    </row>
    <row r="536" spans="4:8">
      <c r="D536">
        <v>0.087897</v>
      </c>
      <c r="E536">
        <v>0.085914</v>
      </c>
      <c r="G536">
        <v>0.079388</v>
      </c>
      <c r="H536">
        <v>0.078574</v>
      </c>
    </row>
    <row r="537" spans="4:8">
      <c r="D537">
        <v>0.078965</v>
      </c>
      <c r="E537">
        <v>0.076834</v>
      </c>
      <c r="G537">
        <v>0.07824</v>
      </c>
      <c r="H537">
        <v>0.076305</v>
      </c>
    </row>
    <row r="538" spans="4:8">
      <c r="D538">
        <v>0.080023</v>
      </c>
      <c r="E538">
        <v>0.079024</v>
      </c>
      <c r="G538">
        <v>0.078922</v>
      </c>
      <c r="H538">
        <v>0.07554</v>
      </c>
    </row>
    <row r="539" spans="4:8">
      <c r="D539">
        <v>0.080997</v>
      </c>
      <c r="E539">
        <v>0.078759</v>
      </c>
      <c r="G539">
        <v>0.077896</v>
      </c>
      <c r="H539">
        <v>0.075217</v>
      </c>
    </row>
    <row r="540" spans="4:8">
      <c r="D540">
        <v>0.087987</v>
      </c>
      <c r="E540">
        <v>0.085638</v>
      </c>
      <c r="G540">
        <v>0.078846</v>
      </c>
      <c r="H540">
        <v>0.076484</v>
      </c>
    </row>
    <row r="541" spans="4:8">
      <c r="D541">
        <v>0.088436</v>
      </c>
      <c r="E541">
        <v>0.085334</v>
      </c>
      <c r="G541">
        <v>0.078547</v>
      </c>
      <c r="H541">
        <v>0.076052</v>
      </c>
    </row>
    <row r="542" spans="4:8">
      <c r="D542">
        <v>0.081672</v>
      </c>
      <c r="E542">
        <v>0.0811</v>
      </c>
      <c r="G542">
        <v>0.078618</v>
      </c>
      <c r="H542">
        <v>0.077512</v>
      </c>
    </row>
    <row r="543" spans="4:8">
      <c r="D543">
        <v>0.079646</v>
      </c>
      <c r="E543">
        <v>0.077292</v>
      </c>
      <c r="G543">
        <v>0.078656</v>
      </c>
      <c r="H543">
        <v>0.076507</v>
      </c>
    </row>
    <row r="544" spans="4:8">
      <c r="D544">
        <v>0.081538</v>
      </c>
      <c r="E544">
        <v>0.080041</v>
      </c>
      <c r="G544">
        <v>0.078702</v>
      </c>
      <c r="H544">
        <v>0.075664</v>
      </c>
    </row>
    <row r="545" spans="4:8">
      <c r="D545">
        <v>0.086251</v>
      </c>
      <c r="E545">
        <v>0.08405</v>
      </c>
      <c r="G545">
        <v>0.083351</v>
      </c>
      <c r="H545">
        <v>0.081625</v>
      </c>
    </row>
    <row r="546" spans="4:8">
      <c r="D546">
        <v>0.078965</v>
      </c>
      <c r="E546">
        <v>0.07627</v>
      </c>
      <c r="G546">
        <v>0.079583</v>
      </c>
      <c r="H546">
        <v>0.075616</v>
      </c>
    </row>
    <row r="547" spans="4:8">
      <c r="D547">
        <v>0.079016</v>
      </c>
      <c r="E547">
        <v>0.076718</v>
      </c>
      <c r="G547">
        <v>0.078174</v>
      </c>
      <c r="H547">
        <v>0.07583</v>
      </c>
    </row>
    <row r="548" spans="4:8">
      <c r="D548">
        <v>0.080263</v>
      </c>
      <c r="E548">
        <v>0.078708</v>
      </c>
      <c r="G548">
        <v>0.078007</v>
      </c>
      <c r="H548">
        <v>0.074901</v>
      </c>
    </row>
    <row r="549" spans="4:8">
      <c r="D549">
        <v>0.080155</v>
      </c>
      <c r="E549">
        <v>0.07816</v>
      </c>
      <c r="G549">
        <v>0.07834</v>
      </c>
      <c r="H549">
        <v>0.076051</v>
      </c>
    </row>
    <row r="550" spans="4:8">
      <c r="D550">
        <v>0.081164</v>
      </c>
      <c r="E550">
        <v>0.078896</v>
      </c>
      <c r="G550">
        <v>0.077451</v>
      </c>
      <c r="H550">
        <v>0.074883</v>
      </c>
    </row>
    <row r="551" spans="4:8">
      <c r="D551">
        <v>0.078744</v>
      </c>
      <c r="E551">
        <v>0.077419</v>
      </c>
      <c r="G551">
        <v>0.083916</v>
      </c>
      <c r="H551">
        <v>0.082626</v>
      </c>
    </row>
    <row r="552" spans="4:8">
      <c r="D552">
        <v>0.079443</v>
      </c>
      <c r="E552">
        <v>0.078272</v>
      </c>
      <c r="G552">
        <v>0.082016</v>
      </c>
      <c r="H552">
        <v>0.08077</v>
      </c>
    </row>
    <row r="553" spans="4:8">
      <c r="D553">
        <v>0.080503</v>
      </c>
      <c r="E553">
        <v>0.078081</v>
      </c>
      <c r="G553">
        <v>0.077628</v>
      </c>
      <c r="H553">
        <v>0.074644</v>
      </c>
    </row>
    <row r="554" spans="4:8">
      <c r="D554">
        <v>0.078463</v>
      </c>
      <c r="E554">
        <v>0.076173</v>
      </c>
      <c r="G554">
        <v>0.077816</v>
      </c>
      <c r="H554">
        <v>0.07459</v>
      </c>
    </row>
    <row r="555" spans="4:8">
      <c r="D555">
        <v>0.077431</v>
      </c>
      <c r="E555">
        <v>0.075502</v>
      </c>
      <c r="G555">
        <v>0.081495</v>
      </c>
      <c r="H555">
        <v>0.07885</v>
      </c>
    </row>
    <row r="556" spans="4:8">
      <c r="D556">
        <v>0.078194</v>
      </c>
      <c r="E556">
        <v>0.077231</v>
      </c>
      <c r="G556">
        <v>0.077752</v>
      </c>
      <c r="H556">
        <v>0.07498</v>
      </c>
    </row>
    <row r="557" spans="4:8">
      <c r="D557">
        <v>0.078399</v>
      </c>
      <c r="E557">
        <v>0.075901</v>
      </c>
      <c r="G557">
        <v>0.077495</v>
      </c>
      <c r="H557">
        <v>0.074836</v>
      </c>
    </row>
    <row r="558" spans="4:8">
      <c r="D558">
        <v>0.078988</v>
      </c>
      <c r="E558">
        <v>0.076509</v>
      </c>
      <c r="G558">
        <v>0.082546</v>
      </c>
      <c r="H558">
        <v>0.079313</v>
      </c>
    </row>
    <row r="559" spans="4:8">
      <c r="D559">
        <v>0.081478</v>
      </c>
      <c r="E559">
        <v>0.080108</v>
      </c>
      <c r="G559">
        <v>0.077528</v>
      </c>
      <c r="H559">
        <v>0.075691</v>
      </c>
    </row>
    <row r="560" spans="4:8">
      <c r="D560">
        <v>0.079283</v>
      </c>
      <c r="E560">
        <v>0.077782</v>
      </c>
      <c r="G560">
        <v>0.082384</v>
      </c>
      <c r="H560">
        <v>0.078791</v>
      </c>
    </row>
    <row r="561" spans="4:8">
      <c r="D561">
        <v>0.076217</v>
      </c>
      <c r="E561">
        <v>0.074114</v>
      </c>
      <c r="G561">
        <v>0.08035</v>
      </c>
      <c r="H561">
        <v>0.077691</v>
      </c>
    </row>
    <row r="562" spans="4:8">
      <c r="D562">
        <v>0.07827</v>
      </c>
      <c r="E562">
        <v>0.076016</v>
      </c>
      <c r="G562">
        <v>0.076707</v>
      </c>
      <c r="H562">
        <v>0.074879</v>
      </c>
    </row>
    <row r="563" spans="4:8">
      <c r="D563">
        <v>0.077934</v>
      </c>
      <c r="E563">
        <v>0.075873</v>
      </c>
      <c r="G563">
        <v>0.079609</v>
      </c>
      <c r="H563">
        <v>0.076859</v>
      </c>
    </row>
    <row r="564" spans="4:8">
      <c r="D564">
        <v>0.083536</v>
      </c>
      <c r="E564">
        <v>0.081931</v>
      </c>
      <c r="G564">
        <v>0.076904</v>
      </c>
      <c r="H564">
        <v>0.074742</v>
      </c>
    </row>
    <row r="565" spans="4:8">
      <c r="D565">
        <v>0.079229</v>
      </c>
      <c r="E565">
        <v>0.077068</v>
      </c>
      <c r="G565">
        <v>0.07868</v>
      </c>
      <c r="H565">
        <v>0.075714</v>
      </c>
    </row>
    <row r="566" spans="4:8">
      <c r="D566">
        <v>0.078201</v>
      </c>
      <c r="E566">
        <v>0.076199</v>
      </c>
      <c r="G566">
        <v>0.076534</v>
      </c>
      <c r="H566">
        <v>0.074805</v>
      </c>
    </row>
    <row r="567" spans="4:8">
      <c r="D567">
        <v>0.077079</v>
      </c>
      <c r="E567">
        <v>0.075143</v>
      </c>
      <c r="G567">
        <v>0.078396</v>
      </c>
      <c r="H567">
        <v>0.075097</v>
      </c>
    </row>
    <row r="568" spans="4:8">
      <c r="D568">
        <v>0.078981</v>
      </c>
      <c r="E568">
        <v>0.075854</v>
      </c>
      <c r="G568">
        <v>0.077154</v>
      </c>
      <c r="H568">
        <v>0.074039</v>
      </c>
    </row>
    <row r="569" spans="4:8">
      <c r="D569">
        <v>0.083143</v>
      </c>
      <c r="E569">
        <v>0.082012</v>
      </c>
      <c r="G569">
        <v>0.07782</v>
      </c>
      <c r="H569">
        <v>0.07543</v>
      </c>
    </row>
    <row r="570" spans="4:8">
      <c r="D570">
        <v>0.078453</v>
      </c>
      <c r="E570">
        <v>0.075604</v>
      </c>
      <c r="G570">
        <v>0.075946</v>
      </c>
      <c r="H570">
        <v>0.074073</v>
      </c>
    </row>
    <row r="571" spans="4:8">
      <c r="D571">
        <v>0.07665</v>
      </c>
      <c r="E571">
        <v>0.074378</v>
      </c>
      <c r="G571">
        <v>0.076175</v>
      </c>
      <c r="H571">
        <v>0.074037</v>
      </c>
    </row>
    <row r="572" spans="4:8">
      <c r="D572">
        <v>0.078515</v>
      </c>
      <c r="E572">
        <v>0.076589</v>
      </c>
      <c r="G572">
        <v>0.078471</v>
      </c>
      <c r="H572">
        <v>0.075337</v>
      </c>
    </row>
    <row r="573" spans="4:8">
      <c r="D573">
        <v>0.078175</v>
      </c>
      <c r="E573">
        <v>0.076456</v>
      </c>
      <c r="G573">
        <v>0.076688</v>
      </c>
      <c r="H573">
        <v>0.073673</v>
      </c>
    </row>
    <row r="574" spans="4:8">
      <c r="D574">
        <v>0.077362</v>
      </c>
      <c r="E574">
        <v>0.075581</v>
      </c>
      <c r="G574">
        <v>0.07673</v>
      </c>
      <c r="H574">
        <v>0.074907</v>
      </c>
    </row>
    <row r="575" spans="4:8">
      <c r="D575">
        <v>0.076863</v>
      </c>
      <c r="E575">
        <v>0.074414</v>
      </c>
      <c r="G575">
        <v>0.079451</v>
      </c>
      <c r="H575">
        <v>0.077675</v>
      </c>
    </row>
    <row r="576" spans="4:8">
      <c r="D576">
        <v>0.076585</v>
      </c>
      <c r="E576">
        <v>0.075086</v>
      </c>
      <c r="G576">
        <v>0.075898</v>
      </c>
      <c r="H576">
        <v>0.073605</v>
      </c>
    </row>
    <row r="577" spans="4:8">
      <c r="D577">
        <v>0.077226</v>
      </c>
      <c r="E577">
        <v>0.075008</v>
      </c>
      <c r="G577">
        <v>0.07752</v>
      </c>
      <c r="H577">
        <v>0.073973</v>
      </c>
    </row>
    <row r="578" spans="4:8">
      <c r="D578">
        <v>0.077256</v>
      </c>
      <c r="E578">
        <v>0.07483</v>
      </c>
      <c r="G578">
        <v>0.077033</v>
      </c>
      <c r="H578">
        <v>0.074365</v>
      </c>
    </row>
    <row r="579" spans="4:8">
      <c r="D579">
        <v>0.083238</v>
      </c>
      <c r="E579">
        <v>0.081051</v>
      </c>
      <c r="G579">
        <v>0.081422</v>
      </c>
      <c r="H579">
        <v>0.078214</v>
      </c>
    </row>
    <row r="580" spans="4:8">
      <c r="D580">
        <v>0.077649</v>
      </c>
      <c r="E580">
        <v>0.075714</v>
      </c>
      <c r="G580">
        <v>0.076606</v>
      </c>
      <c r="H580">
        <v>0.073264</v>
      </c>
    </row>
    <row r="581" spans="4:8">
      <c r="D581">
        <v>0.078148</v>
      </c>
      <c r="E581">
        <v>0.077709</v>
      </c>
      <c r="G581">
        <v>0.07634</v>
      </c>
      <c r="H581">
        <v>0.073701</v>
      </c>
    </row>
    <row r="582" spans="4:8">
      <c r="D582">
        <v>0.079919</v>
      </c>
      <c r="E582">
        <v>0.078317</v>
      </c>
      <c r="G582">
        <v>0.080668</v>
      </c>
      <c r="H582">
        <v>0.077405</v>
      </c>
    </row>
    <row r="583" spans="4:8">
      <c r="D583">
        <v>0.085572</v>
      </c>
      <c r="E583">
        <v>0.083088</v>
      </c>
      <c r="G583">
        <v>0.076925</v>
      </c>
      <c r="H583">
        <v>0.073672</v>
      </c>
    </row>
    <row r="584" spans="4:8">
      <c r="D584">
        <v>0.079376</v>
      </c>
      <c r="E584">
        <v>0.077332</v>
      </c>
      <c r="G584">
        <v>0.075557</v>
      </c>
      <c r="H584">
        <v>0.072639</v>
      </c>
    </row>
    <row r="585" spans="4:8">
      <c r="D585">
        <v>0.076213</v>
      </c>
      <c r="E585">
        <v>0.074158</v>
      </c>
      <c r="G585">
        <v>0.078295</v>
      </c>
      <c r="H585">
        <v>0.075451</v>
      </c>
    </row>
    <row r="586" spans="4:8">
      <c r="D586">
        <v>0.080301</v>
      </c>
      <c r="E586">
        <v>0.077581</v>
      </c>
      <c r="G586">
        <v>0.082093</v>
      </c>
      <c r="H586">
        <v>0.081793</v>
      </c>
    </row>
    <row r="587" spans="4:8">
      <c r="D587">
        <v>0.078757</v>
      </c>
      <c r="E587">
        <v>0.07787</v>
      </c>
      <c r="G587">
        <v>0.076368</v>
      </c>
      <c r="H587">
        <v>0.074719</v>
      </c>
    </row>
    <row r="588" spans="4:8">
      <c r="D588">
        <v>0.076054</v>
      </c>
      <c r="E588">
        <v>0.074449</v>
      </c>
      <c r="G588">
        <v>0.083456</v>
      </c>
      <c r="H588">
        <v>0.080409</v>
      </c>
    </row>
    <row r="589" spans="4:8">
      <c r="D589">
        <v>0.079141</v>
      </c>
      <c r="E589">
        <v>0.076585</v>
      </c>
      <c r="G589">
        <v>0.077148</v>
      </c>
      <c r="H589">
        <v>0.075021</v>
      </c>
    </row>
    <row r="590" spans="4:8">
      <c r="D590">
        <v>0.077017</v>
      </c>
      <c r="E590">
        <v>0.075009</v>
      </c>
      <c r="G590">
        <v>0.076584</v>
      </c>
      <c r="H590">
        <v>0.073734</v>
      </c>
    </row>
    <row r="591" spans="4:8">
      <c r="D591">
        <v>0.077231</v>
      </c>
      <c r="E591">
        <v>0.07597</v>
      </c>
      <c r="G591">
        <v>0.076824</v>
      </c>
      <c r="H591">
        <v>0.073663</v>
      </c>
    </row>
    <row r="592" spans="4:8">
      <c r="D592">
        <v>0.08271</v>
      </c>
      <c r="E592">
        <v>0.080346</v>
      </c>
      <c r="G592">
        <v>0.075451</v>
      </c>
      <c r="H592">
        <v>0.072439</v>
      </c>
    </row>
    <row r="593" spans="4:8">
      <c r="D593">
        <v>0.077088</v>
      </c>
      <c r="E593">
        <v>0.075089</v>
      </c>
      <c r="G593">
        <v>0.075661</v>
      </c>
      <c r="H593">
        <v>0.073047</v>
      </c>
    </row>
    <row r="594" spans="4:8">
      <c r="D594">
        <v>0.078141</v>
      </c>
      <c r="E594">
        <v>0.077738</v>
      </c>
      <c r="G594">
        <v>0.078509</v>
      </c>
      <c r="H594">
        <v>0.075509</v>
      </c>
    </row>
    <row r="595" spans="4:8">
      <c r="D595">
        <v>0.076529</v>
      </c>
      <c r="E595">
        <v>0.075039</v>
      </c>
      <c r="G595">
        <v>0.077725</v>
      </c>
      <c r="H595">
        <v>0.074292</v>
      </c>
    </row>
    <row r="596" spans="4:8">
      <c r="D596">
        <v>0.076053</v>
      </c>
      <c r="E596">
        <v>0.074455</v>
      </c>
      <c r="G596">
        <v>0.075433</v>
      </c>
      <c r="H596">
        <v>0.072466</v>
      </c>
    </row>
    <row r="597" spans="4:8">
      <c r="D597">
        <v>0.082991</v>
      </c>
      <c r="E597">
        <v>0.081757</v>
      </c>
      <c r="G597">
        <v>0.079669</v>
      </c>
      <c r="H597">
        <v>0.076988</v>
      </c>
    </row>
    <row r="598" spans="4:8">
      <c r="D598">
        <v>0.076818</v>
      </c>
      <c r="E598">
        <v>0.076054</v>
      </c>
      <c r="G598">
        <v>0.076062</v>
      </c>
      <c r="H598">
        <v>0.072616</v>
      </c>
    </row>
    <row r="599" spans="4:8">
      <c r="D599">
        <v>0.077101</v>
      </c>
      <c r="E599">
        <v>0.075069</v>
      </c>
      <c r="G599">
        <v>0.077179</v>
      </c>
      <c r="H599">
        <v>0.074274</v>
      </c>
    </row>
    <row r="600" spans="4:8">
      <c r="D600">
        <v>0.074558</v>
      </c>
      <c r="E600">
        <v>0.073471</v>
      </c>
      <c r="G600">
        <v>0.077432</v>
      </c>
      <c r="H600">
        <v>0.074416</v>
      </c>
    </row>
    <row r="601" spans="4:8">
      <c r="D601">
        <v>0.07678</v>
      </c>
      <c r="E601">
        <v>0.073624</v>
      </c>
      <c r="G601">
        <v>0.07555</v>
      </c>
      <c r="H601">
        <v>0.072302</v>
      </c>
    </row>
    <row r="602" spans="4:8">
      <c r="D602">
        <v>0.076815</v>
      </c>
      <c r="E602">
        <v>0.074658</v>
      </c>
      <c r="G602">
        <v>0.075963</v>
      </c>
      <c r="H602">
        <v>0.073396</v>
      </c>
    </row>
    <row r="603" spans="4:8">
      <c r="D603">
        <v>0.075778</v>
      </c>
      <c r="E603">
        <v>0.073739</v>
      </c>
      <c r="G603">
        <v>0.076128</v>
      </c>
      <c r="H603">
        <v>0.072784</v>
      </c>
    </row>
    <row r="604" spans="4:8">
      <c r="D604">
        <v>0.076703</v>
      </c>
      <c r="E604">
        <v>0.074992</v>
      </c>
      <c r="G604">
        <v>0.075067</v>
      </c>
      <c r="H604">
        <v>0.072414</v>
      </c>
    </row>
    <row r="605" spans="4:8">
      <c r="D605">
        <v>0.077087</v>
      </c>
      <c r="E605">
        <v>0.075769</v>
      </c>
      <c r="G605">
        <v>0.075862</v>
      </c>
      <c r="H605">
        <v>0.072596</v>
      </c>
    </row>
    <row r="606" spans="4:8">
      <c r="D606">
        <v>0.078454</v>
      </c>
      <c r="E606">
        <v>0.077633</v>
      </c>
      <c r="G606">
        <v>0.076973</v>
      </c>
      <c r="H606">
        <v>0.073626</v>
      </c>
    </row>
    <row r="607" spans="4:8">
      <c r="D607">
        <v>0.074963</v>
      </c>
      <c r="E607">
        <v>0.072921</v>
      </c>
      <c r="G607">
        <v>0.08071</v>
      </c>
      <c r="H607">
        <v>0.078611</v>
      </c>
    </row>
    <row r="608" spans="4:8">
      <c r="D608">
        <v>0.082816</v>
      </c>
      <c r="E608">
        <v>0.080984</v>
      </c>
      <c r="G608">
        <v>0.081764</v>
      </c>
      <c r="H608">
        <v>0.078391</v>
      </c>
    </row>
    <row r="609" spans="4:8">
      <c r="D609">
        <v>0.075778</v>
      </c>
      <c r="E609">
        <v>0.074565</v>
      </c>
      <c r="G609">
        <v>0.075688</v>
      </c>
      <c r="H609">
        <v>0.07336</v>
      </c>
    </row>
    <row r="610" spans="4:8">
      <c r="D610">
        <v>0.07718</v>
      </c>
      <c r="E610">
        <v>0.074935</v>
      </c>
      <c r="G610">
        <v>0.075876</v>
      </c>
      <c r="H610">
        <v>0.073479</v>
      </c>
    </row>
    <row r="611" spans="4:8">
      <c r="D611">
        <v>0.075214</v>
      </c>
      <c r="E611">
        <v>0.073432</v>
      </c>
      <c r="G611">
        <v>0.075068</v>
      </c>
      <c r="H611">
        <v>0.072044</v>
      </c>
    </row>
    <row r="612" spans="4:8">
      <c r="D612">
        <v>0.078461</v>
      </c>
      <c r="E612">
        <v>0.076258</v>
      </c>
      <c r="G612">
        <v>0.077209</v>
      </c>
      <c r="H612">
        <v>0.074876</v>
      </c>
    </row>
    <row r="613" spans="4:8">
      <c r="D613">
        <v>0.07623</v>
      </c>
      <c r="E613">
        <v>0.07528</v>
      </c>
      <c r="G613">
        <v>0.075554</v>
      </c>
      <c r="H613">
        <v>0.072585</v>
      </c>
    </row>
    <row r="614" spans="4:8">
      <c r="D614">
        <v>0.076247</v>
      </c>
      <c r="E614">
        <v>0.075043</v>
      </c>
      <c r="G614">
        <v>0.074661</v>
      </c>
      <c r="H614">
        <v>0.071663</v>
      </c>
    </row>
    <row r="615" spans="4:8">
      <c r="D615">
        <v>0.074871</v>
      </c>
      <c r="E615">
        <v>0.073645</v>
      </c>
      <c r="G615">
        <v>0.076681</v>
      </c>
      <c r="H615">
        <v>0.073865</v>
      </c>
    </row>
    <row r="616" spans="4:8">
      <c r="D616">
        <v>0.076187</v>
      </c>
      <c r="E616">
        <v>0.073826</v>
      </c>
      <c r="G616">
        <v>0.074939</v>
      </c>
      <c r="H616">
        <v>0.07213</v>
      </c>
    </row>
    <row r="617" spans="4:8">
      <c r="D617">
        <v>0.075323</v>
      </c>
      <c r="E617">
        <v>0.073904</v>
      </c>
      <c r="G617">
        <v>0.075568</v>
      </c>
      <c r="H617">
        <v>0.072007</v>
      </c>
    </row>
    <row r="618" spans="4:8">
      <c r="D618">
        <v>0.074785</v>
      </c>
      <c r="E618">
        <v>0.072916</v>
      </c>
      <c r="G618">
        <v>0.07501</v>
      </c>
      <c r="H618">
        <v>0.071861</v>
      </c>
    </row>
    <row r="619" spans="4:8">
      <c r="D619">
        <v>0.078477</v>
      </c>
      <c r="E619">
        <v>0.075232</v>
      </c>
      <c r="G619">
        <v>0.074623</v>
      </c>
      <c r="H619">
        <v>0.072072</v>
      </c>
    </row>
    <row r="620" spans="4:8">
      <c r="D620">
        <v>0.076107</v>
      </c>
      <c r="E620">
        <v>0.074718</v>
      </c>
      <c r="G620">
        <v>0.074293</v>
      </c>
      <c r="H620">
        <v>0.072693</v>
      </c>
    </row>
    <row r="621" spans="4:8">
      <c r="D621">
        <v>0.077494</v>
      </c>
      <c r="E621">
        <v>0.075009</v>
      </c>
      <c r="G621">
        <v>0.074558</v>
      </c>
      <c r="H621">
        <v>0.071903</v>
      </c>
    </row>
    <row r="622" spans="4:8">
      <c r="D622">
        <v>0.081652</v>
      </c>
      <c r="E622">
        <v>0.079458</v>
      </c>
      <c r="G622">
        <v>0.076828</v>
      </c>
      <c r="H622">
        <v>0.073414</v>
      </c>
    </row>
    <row r="623" spans="4:8">
      <c r="D623">
        <v>0.074803</v>
      </c>
      <c r="E623">
        <v>0.072493</v>
      </c>
      <c r="G623">
        <v>0.074939</v>
      </c>
      <c r="H623">
        <v>0.071505</v>
      </c>
    </row>
    <row r="624" spans="4:8">
      <c r="D624">
        <v>0.077392</v>
      </c>
      <c r="E624">
        <v>0.075589</v>
      </c>
      <c r="G624">
        <v>0.075768</v>
      </c>
      <c r="H624">
        <v>0.073088</v>
      </c>
    </row>
    <row r="625" spans="4:8">
      <c r="D625">
        <v>0.076682</v>
      </c>
      <c r="E625">
        <v>0.075506</v>
      </c>
      <c r="G625">
        <v>0.075003</v>
      </c>
      <c r="H625">
        <v>0.072302</v>
      </c>
    </row>
    <row r="626" spans="4:8">
      <c r="D626">
        <v>0.074822</v>
      </c>
      <c r="E626">
        <v>0.073103</v>
      </c>
      <c r="G626">
        <v>0.074287</v>
      </c>
      <c r="H626">
        <v>0.071095</v>
      </c>
    </row>
    <row r="627" spans="4:8">
      <c r="D627">
        <v>0.074866</v>
      </c>
      <c r="E627">
        <v>0.072728</v>
      </c>
      <c r="G627">
        <v>0.075208</v>
      </c>
      <c r="H627">
        <v>0.072</v>
      </c>
    </row>
    <row r="628" spans="4:8">
      <c r="D628">
        <v>0.076635</v>
      </c>
      <c r="E628">
        <v>0.074113</v>
      </c>
      <c r="G628">
        <v>0.073106</v>
      </c>
      <c r="H628">
        <v>0.07129</v>
      </c>
    </row>
    <row r="629" spans="4:8">
      <c r="D629">
        <v>0.074614</v>
      </c>
      <c r="E629">
        <v>0.073345</v>
      </c>
      <c r="G629">
        <v>0.075189</v>
      </c>
      <c r="H629">
        <v>0.071574</v>
      </c>
    </row>
    <row r="630" spans="4:8">
      <c r="D630">
        <v>0.075371</v>
      </c>
      <c r="E630">
        <v>0.073351</v>
      </c>
      <c r="G630">
        <v>0.075445</v>
      </c>
      <c r="H630">
        <v>0.072359</v>
      </c>
    </row>
    <row r="631" spans="4:8">
      <c r="D631">
        <v>0.076178</v>
      </c>
      <c r="E631">
        <v>0.075112</v>
      </c>
      <c r="G631">
        <v>0.076939</v>
      </c>
      <c r="H631">
        <v>0.073764</v>
      </c>
    </row>
    <row r="632" spans="4:8">
      <c r="D632">
        <v>0.078214</v>
      </c>
      <c r="E632">
        <v>0.07588</v>
      </c>
      <c r="G632">
        <v>0.078787</v>
      </c>
      <c r="H632">
        <v>0.076096</v>
      </c>
    </row>
    <row r="633" spans="4:8">
      <c r="D633">
        <v>0.07556</v>
      </c>
      <c r="E633">
        <v>0.074145</v>
      </c>
      <c r="G633">
        <v>0.075639</v>
      </c>
      <c r="H633">
        <v>0.072185</v>
      </c>
    </row>
    <row r="634" spans="4:8">
      <c r="D634">
        <v>0.074774</v>
      </c>
      <c r="E634">
        <v>0.072452</v>
      </c>
      <c r="G634">
        <v>0.073904</v>
      </c>
      <c r="H634">
        <v>0.070957</v>
      </c>
    </row>
    <row r="635" spans="4:8">
      <c r="D635">
        <v>0.075941</v>
      </c>
      <c r="E635">
        <v>0.074502</v>
      </c>
      <c r="G635">
        <v>0.073854</v>
      </c>
      <c r="H635">
        <v>0.07122</v>
      </c>
    </row>
    <row r="636" spans="4:8">
      <c r="D636">
        <v>0.075005</v>
      </c>
      <c r="E636">
        <v>0.073381</v>
      </c>
      <c r="G636">
        <v>0.074655</v>
      </c>
      <c r="H636">
        <v>0.070921</v>
      </c>
    </row>
    <row r="637" spans="4:8">
      <c r="D637">
        <v>0.075178</v>
      </c>
      <c r="E637">
        <v>0.073117</v>
      </c>
      <c r="G637">
        <v>0.076397</v>
      </c>
      <c r="H637">
        <v>0.073071</v>
      </c>
    </row>
    <row r="638" spans="4:8">
      <c r="D638">
        <v>0.07524</v>
      </c>
      <c r="E638">
        <v>0.073333</v>
      </c>
      <c r="G638">
        <v>0.076675</v>
      </c>
      <c r="H638">
        <v>0.074265</v>
      </c>
    </row>
    <row r="639" spans="4:8">
      <c r="D639">
        <v>0.075348</v>
      </c>
      <c r="E639">
        <v>0.073042</v>
      </c>
      <c r="G639">
        <v>0.076482</v>
      </c>
      <c r="H639">
        <v>0.073309</v>
      </c>
    </row>
    <row r="640" spans="4:8">
      <c r="D640">
        <v>0.076866</v>
      </c>
      <c r="E640">
        <v>0.074862</v>
      </c>
      <c r="G640">
        <v>0.074424</v>
      </c>
      <c r="H640">
        <v>0.072079</v>
      </c>
    </row>
    <row r="641" spans="4:8">
      <c r="D641">
        <v>0.076349</v>
      </c>
      <c r="E641">
        <v>0.07448</v>
      </c>
      <c r="G641">
        <v>0.079164</v>
      </c>
      <c r="H641">
        <v>0.07685</v>
      </c>
    </row>
    <row r="642" spans="4:8">
      <c r="D642">
        <v>0.076527</v>
      </c>
      <c r="E642">
        <v>0.074423</v>
      </c>
      <c r="G642">
        <v>0.076656</v>
      </c>
      <c r="H642">
        <v>0.074007</v>
      </c>
    </row>
    <row r="643" spans="4:8">
      <c r="D643">
        <v>0.074952</v>
      </c>
      <c r="E643">
        <v>0.07415</v>
      </c>
      <c r="G643">
        <v>0.073855</v>
      </c>
      <c r="H643">
        <v>0.070168</v>
      </c>
    </row>
    <row r="644" spans="4:8">
      <c r="D644">
        <v>0.074712</v>
      </c>
      <c r="E644">
        <v>0.072909</v>
      </c>
      <c r="G644">
        <v>0.074876</v>
      </c>
      <c r="H644">
        <v>0.071381</v>
      </c>
    </row>
    <row r="645" spans="4:8">
      <c r="D645">
        <v>0.079726</v>
      </c>
      <c r="E645">
        <v>0.078231</v>
      </c>
      <c r="G645">
        <v>0.075238</v>
      </c>
      <c r="H645">
        <v>0.072525</v>
      </c>
    </row>
    <row r="646" spans="4:8">
      <c r="D646">
        <v>0.075414</v>
      </c>
      <c r="E646">
        <v>0.07439</v>
      </c>
      <c r="G646">
        <v>0.074157</v>
      </c>
      <c r="H646">
        <v>0.071742</v>
      </c>
    </row>
    <row r="647" spans="4:8">
      <c r="D647">
        <v>0.074167</v>
      </c>
      <c r="E647">
        <v>0.072861</v>
      </c>
      <c r="G647">
        <v>0.073823</v>
      </c>
      <c r="H647">
        <v>0.070414</v>
      </c>
    </row>
    <row r="648" spans="4:8">
      <c r="D648">
        <v>0.074458</v>
      </c>
      <c r="E648">
        <v>0.072986</v>
      </c>
      <c r="G648">
        <v>0.074707</v>
      </c>
      <c r="H648">
        <v>0.072421</v>
      </c>
    </row>
    <row r="649" spans="4:8">
      <c r="D649">
        <v>0.075429</v>
      </c>
      <c r="E649">
        <v>0.07328</v>
      </c>
      <c r="G649">
        <v>0.074534</v>
      </c>
      <c r="H649">
        <v>0.071277</v>
      </c>
    </row>
    <row r="650" spans="4:8">
      <c r="D650">
        <v>0.074945</v>
      </c>
      <c r="E650">
        <v>0.073255</v>
      </c>
      <c r="G650">
        <v>0.075085</v>
      </c>
      <c r="H650">
        <v>0.071723</v>
      </c>
    </row>
    <row r="651" spans="4:8">
      <c r="D651">
        <v>0.076852</v>
      </c>
      <c r="E651">
        <v>0.074753</v>
      </c>
      <c r="G651">
        <v>0.074668</v>
      </c>
      <c r="H651">
        <v>0.071687</v>
      </c>
    </row>
    <row r="652" spans="4:8">
      <c r="D652">
        <v>0.075053</v>
      </c>
      <c r="E652">
        <v>0.072592</v>
      </c>
      <c r="G652">
        <v>0.074562</v>
      </c>
      <c r="H652">
        <v>0.071799</v>
      </c>
    </row>
    <row r="653" spans="4:8">
      <c r="D653">
        <v>0.075194</v>
      </c>
      <c r="E653">
        <v>0.074216</v>
      </c>
      <c r="G653">
        <v>0.075953</v>
      </c>
      <c r="H653">
        <v>0.072079</v>
      </c>
    </row>
    <row r="654" spans="4:8">
      <c r="D654">
        <v>0.074749</v>
      </c>
      <c r="E654">
        <v>0.072302</v>
      </c>
      <c r="G654">
        <v>0.074746</v>
      </c>
      <c r="H654">
        <v>0.071642</v>
      </c>
    </row>
    <row r="655" spans="4:8">
      <c r="D655">
        <v>0.076993</v>
      </c>
      <c r="E655">
        <v>0.074802</v>
      </c>
      <c r="G655">
        <v>0.073546</v>
      </c>
      <c r="H655">
        <v>0.070649</v>
      </c>
    </row>
    <row r="656" spans="4:8">
      <c r="D656">
        <v>0.074287</v>
      </c>
      <c r="E656">
        <v>0.072851</v>
      </c>
      <c r="G656">
        <v>0.074908</v>
      </c>
      <c r="H656">
        <v>0.071739</v>
      </c>
    </row>
    <row r="657" spans="4:8">
      <c r="D657">
        <v>0.074208</v>
      </c>
      <c r="E657">
        <v>0.072011</v>
      </c>
      <c r="G657">
        <v>0.07445</v>
      </c>
      <c r="H657">
        <v>0.071113</v>
      </c>
    </row>
    <row r="658" spans="4:8">
      <c r="D658">
        <v>0.075211</v>
      </c>
      <c r="E658">
        <v>0.073303</v>
      </c>
      <c r="G658">
        <v>0.075987</v>
      </c>
      <c r="H658">
        <v>0.072768</v>
      </c>
    </row>
    <row r="659" spans="4:8">
      <c r="D659">
        <v>0.074584</v>
      </c>
      <c r="E659">
        <v>0.072559</v>
      </c>
      <c r="G659">
        <v>0.073717</v>
      </c>
      <c r="H659">
        <v>0.070929</v>
      </c>
    </row>
    <row r="660" spans="4:8">
      <c r="D660">
        <v>0.075846</v>
      </c>
      <c r="E660">
        <v>0.07331</v>
      </c>
      <c r="G660">
        <v>0.073888</v>
      </c>
      <c r="H660">
        <v>0.070781</v>
      </c>
    </row>
    <row r="661" spans="4:8">
      <c r="D661">
        <v>0.076024</v>
      </c>
      <c r="E661">
        <v>0.074776</v>
      </c>
      <c r="G661">
        <v>0.074072</v>
      </c>
      <c r="H661">
        <v>0.071096</v>
      </c>
    </row>
    <row r="662" spans="4:8">
      <c r="D662">
        <v>0.07582</v>
      </c>
      <c r="E662">
        <v>0.074357</v>
      </c>
      <c r="G662">
        <v>0.073278</v>
      </c>
      <c r="H662">
        <v>0.070559</v>
      </c>
    </row>
    <row r="663" spans="4:8">
      <c r="D663">
        <v>0.074661</v>
      </c>
      <c r="E663">
        <v>0.07309</v>
      </c>
      <c r="G663">
        <v>0.073374</v>
      </c>
      <c r="H663">
        <v>0.070223</v>
      </c>
    </row>
    <row r="664" spans="4:8">
      <c r="D664">
        <v>0.074483</v>
      </c>
      <c r="E664">
        <v>0.07267</v>
      </c>
      <c r="G664">
        <v>0.074885</v>
      </c>
      <c r="H664">
        <v>0.071553</v>
      </c>
    </row>
    <row r="665" spans="4:8">
      <c r="D665">
        <v>0.074938</v>
      </c>
      <c r="E665">
        <v>0.072663</v>
      </c>
      <c r="G665">
        <v>0.073978</v>
      </c>
      <c r="H665">
        <v>0.071464</v>
      </c>
    </row>
    <row r="666" spans="4:8">
      <c r="D666">
        <v>0.074189</v>
      </c>
      <c r="E666">
        <v>0.071998</v>
      </c>
      <c r="G666">
        <v>0.073028</v>
      </c>
      <c r="H666">
        <v>0.069885</v>
      </c>
    </row>
    <row r="667" spans="4:8">
      <c r="D667">
        <v>0.074278</v>
      </c>
      <c r="E667">
        <v>0.072251</v>
      </c>
      <c r="G667">
        <v>0.073745</v>
      </c>
      <c r="H667">
        <v>0.070473</v>
      </c>
    </row>
    <row r="668" spans="4:8">
      <c r="D668">
        <v>0.075706</v>
      </c>
      <c r="E668">
        <v>0.073828</v>
      </c>
      <c r="G668">
        <v>0.074169</v>
      </c>
      <c r="H668">
        <v>0.071062</v>
      </c>
    </row>
    <row r="669" spans="4:8">
      <c r="D669">
        <v>0.074254</v>
      </c>
      <c r="E669">
        <v>0.072921</v>
      </c>
      <c r="G669">
        <v>0.075498</v>
      </c>
      <c r="H669">
        <v>0.072239</v>
      </c>
    </row>
    <row r="670" spans="4:8">
      <c r="D670">
        <v>0.07491</v>
      </c>
      <c r="E670">
        <v>0.073399</v>
      </c>
      <c r="G670">
        <v>0.073148</v>
      </c>
      <c r="H670">
        <v>0.069565</v>
      </c>
    </row>
    <row r="671" spans="4:8">
      <c r="D671">
        <v>0.073475</v>
      </c>
      <c r="E671">
        <v>0.071304</v>
      </c>
      <c r="G671">
        <v>0.080964</v>
      </c>
      <c r="H671">
        <v>0.077012</v>
      </c>
    </row>
    <row r="672" spans="4:8">
      <c r="D672">
        <v>0.075416</v>
      </c>
      <c r="E672">
        <v>0.074838</v>
      </c>
      <c r="G672">
        <v>0.073446</v>
      </c>
      <c r="H672">
        <v>0.070809</v>
      </c>
    </row>
    <row r="673" spans="4:8">
      <c r="D673">
        <v>0.074094</v>
      </c>
      <c r="E673">
        <v>0.071973</v>
      </c>
      <c r="G673">
        <v>0.074846</v>
      </c>
      <c r="H673">
        <v>0.071501</v>
      </c>
    </row>
    <row r="674" spans="4:8">
      <c r="D674">
        <v>0.074882</v>
      </c>
      <c r="E674">
        <v>0.072905</v>
      </c>
      <c r="G674">
        <v>0.074108</v>
      </c>
      <c r="H674">
        <v>0.072158</v>
      </c>
    </row>
    <row r="675" spans="4:8">
      <c r="D675">
        <v>0.074136</v>
      </c>
      <c r="E675">
        <v>0.07237</v>
      </c>
      <c r="G675">
        <v>0.073454</v>
      </c>
      <c r="H675">
        <v>0.06988</v>
      </c>
    </row>
    <row r="676" spans="4:8">
      <c r="D676">
        <v>0.074118</v>
      </c>
      <c r="E676">
        <v>0.072351</v>
      </c>
      <c r="G676">
        <v>0.073443</v>
      </c>
      <c r="H676">
        <v>0.069822</v>
      </c>
    </row>
    <row r="677" spans="4:8">
      <c r="D677">
        <v>0.074077</v>
      </c>
      <c r="E677">
        <v>0.072345</v>
      </c>
      <c r="G677">
        <v>0.072864</v>
      </c>
      <c r="H677">
        <v>0.069711</v>
      </c>
    </row>
    <row r="678" spans="4:8">
      <c r="D678">
        <v>0.074174</v>
      </c>
      <c r="E678">
        <v>0.072892</v>
      </c>
      <c r="G678">
        <v>0.073129</v>
      </c>
      <c r="H678">
        <v>0.070236</v>
      </c>
    </row>
    <row r="679" spans="4:8">
      <c r="D679">
        <v>0.074681</v>
      </c>
      <c r="E679">
        <v>0.072854</v>
      </c>
      <c r="G679">
        <v>0.073057</v>
      </c>
      <c r="H679">
        <v>0.069742</v>
      </c>
    </row>
    <row r="680" spans="4:8">
      <c r="D680">
        <v>0.073441</v>
      </c>
      <c r="E680">
        <v>0.071497</v>
      </c>
      <c r="G680">
        <v>0.072973</v>
      </c>
      <c r="H680">
        <v>0.070812</v>
      </c>
    </row>
    <row r="681" spans="4:8">
      <c r="D681">
        <v>0.075618</v>
      </c>
      <c r="E681">
        <v>0.07321</v>
      </c>
      <c r="G681">
        <v>0.075251</v>
      </c>
      <c r="H681">
        <v>0.072386</v>
      </c>
    </row>
    <row r="682" spans="4:8">
      <c r="D682">
        <v>0.075831</v>
      </c>
      <c r="E682">
        <v>0.073788</v>
      </c>
      <c r="G682">
        <v>0.072894</v>
      </c>
      <c r="H682">
        <v>0.069536</v>
      </c>
    </row>
    <row r="683" spans="4:8">
      <c r="D683">
        <v>0.075043</v>
      </c>
      <c r="E683">
        <v>0.073231</v>
      </c>
      <c r="G683">
        <v>0.074015</v>
      </c>
      <c r="H683">
        <v>0.070716</v>
      </c>
    </row>
    <row r="684" spans="4:8">
      <c r="D684">
        <v>0.073627</v>
      </c>
      <c r="E684">
        <v>0.07139</v>
      </c>
      <c r="G684">
        <v>0.073541</v>
      </c>
      <c r="H684">
        <v>0.070649</v>
      </c>
    </row>
    <row r="685" spans="4:8">
      <c r="D685">
        <v>0.073465</v>
      </c>
      <c r="E685">
        <v>0.071709</v>
      </c>
      <c r="G685">
        <v>0.073972</v>
      </c>
      <c r="H685">
        <v>0.071197</v>
      </c>
    </row>
    <row r="686" spans="4:8">
      <c r="D686">
        <v>0.073675</v>
      </c>
      <c r="E686">
        <v>0.071946</v>
      </c>
      <c r="G686">
        <v>0.073199</v>
      </c>
      <c r="H686">
        <v>0.069986</v>
      </c>
    </row>
    <row r="687" spans="4:8">
      <c r="D687">
        <v>0.074581</v>
      </c>
      <c r="E687">
        <v>0.073054</v>
      </c>
      <c r="G687">
        <v>0.073819</v>
      </c>
      <c r="H687">
        <v>0.070084</v>
      </c>
    </row>
    <row r="688" spans="4:8">
      <c r="D688">
        <v>0.073562</v>
      </c>
      <c r="E688">
        <v>0.072086</v>
      </c>
      <c r="G688">
        <v>0.073535</v>
      </c>
      <c r="H688">
        <v>0.070257</v>
      </c>
    </row>
    <row r="689" spans="4:8">
      <c r="D689">
        <v>0.073851</v>
      </c>
      <c r="E689">
        <v>0.072144</v>
      </c>
      <c r="G689">
        <v>0.074644</v>
      </c>
      <c r="H689">
        <v>0.072028</v>
      </c>
    </row>
    <row r="690" spans="4:8">
      <c r="D690">
        <v>0.075356</v>
      </c>
      <c r="E690">
        <v>0.072725</v>
      </c>
      <c r="G690">
        <v>0.073742</v>
      </c>
      <c r="H690">
        <v>0.070515</v>
      </c>
    </row>
    <row r="691" spans="4:8">
      <c r="D691">
        <v>0.073602</v>
      </c>
      <c r="E691">
        <v>0.071899</v>
      </c>
      <c r="G691">
        <v>0.072756</v>
      </c>
      <c r="H691">
        <v>0.06985</v>
      </c>
    </row>
    <row r="692" spans="4:8">
      <c r="D692">
        <v>0.074166</v>
      </c>
      <c r="E692">
        <v>0.071936</v>
      </c>
      <c r="G692">
        <v>0.074832</v>
      </c>
      <c r="H692">
        <v>0.07194</v>
      </c>
    </row>
    <row r="693" spans="4:8">
      <c r="D693">
        <v>0.073845</v>
      </c>
      <c r="E693">
        <v>0.07208</v>
      </c>
      <c r="G693">
        <v>0.072897</v>
      </c>
      <c r="H693">
        <v>0.069941</v>
      </c>
    </row>
    <row r="694" spans="4:8">
      <c r="D694">
        <v>0.075538</v>
      </c>
      <c r="E694">
        <v>0.073073</v>
      </c>
      <c r="G694">
        <v>0.073334</v>
      </c>
      <c r="H694">
        <v>0.070166</v>
      </c>
    </row>
    <row r="695" spans="4:8">
      <c r="D695">
        <v>0.074215</v>
      </c>
      <c r="E695">
        <v>0.072069</v>
      </c>
      <c r="G695">
        <v>0.073623</v>
      </c>
      <c r="H695">
        <v>0.070087</v>
      </c>
    </row>
    <row r="696" spans="4:8">
      <c r="D696">
        <v>0.072977</v>
      </c>
      <c r="E696">
        <v>0.071421</v>
      </c>
      <c r="G696">
        <v>0.073618</v>
      </c>
      <c r="H696">
        <v>0.071001</v>
      </c>
    </row>
    <row r="697" spans="4:8">
      <c r="D697">
        <v>0.074173</v>
      </c>
      <c r="E697">
        <v>0.071929</v>
      </c>
      <c r="G697">
        <v>0.072924</v>
      </c>
      <c r="H697">
        <v>0.069535</v>
      </c>
    </row>
    <row r="698" spans="4:8">
      <c r="D698">
        <v>0.073804</v>
      </c>
      <c r="E698">
        <v>0.07132</v>
      </c>
      <c r="G698">
        <v>0.074193</v>
      </c>
      <c r="H698">
        <v>0.071966</v>
      </c>
    </row>
    <row r="699" spans="4:8">
      <c r="D699">
        <v>0.074305</v>
      </c>
      <c r="E699">
        <v>0.071859</v>
      </c>
      <c r="G699">
        <v>0.07262</v>
      </c>
      <c r="H699">
        <v>0.069411</v>
      </c>
    </row>
    <row r="700" spans="4:8">
      <c r="D700">
        <v>0.073306</v>
      </c>
      <c r="E700">
        <v>0.071229</v>
      </c>
      <c r="G700">
        <v>0.072913</v>
      </c>
      <c r="H700">
        <v>0.069658</v>
      </c>
    </row>
    <row r="701" spans="4:8">
      <c r="D701">
        <v>0.073938</v>
      </c>
      <c r="E701">
        <v>0.072023</v>
      </c>
      <c r="G701">
        <v>0.074065</v>
      </c>
      <c r="H701">
        <v>0.070951</v>
      </c>
    </row>
    <row r="702" spans="4:8">
      <c r="D702">
        <v>0.074217</v>
      </c>
      <c r="E702">
        <v>0.07197</v>
      </c>
      <c r="G702">
        <v>0.073208</v>
      </c>
      <c r="H702">
        <v>0.070013</v>
      </c>
    </row>
    <row r="703" spans="4:8">
      <c r="D703">
        <v>0.072985</v>
      </c>
      <c r="E703">
        <v>0.071544</v>
      </c>
      <c r="G703">
        <v>0.074557</v>
      </c>
      <c r="H703">
        <v>0.07106</v>
      </c>
    </row>
    <row r="704" spans="4:8">
      <c r="D704">
        <v>0.073008</v>
      </c>
      <c r="E704">
        <v>0.071243</v>
      </c>
      <c r="G704">
        <v>0.073334</v>
      </c>
      <c r="H704">
        <v>0.070252</v>
      </c>
    </row>
    <row r="705" spans="4:8">
      <c r="D705">
        <v>0.073612</v>
      </c>
      <c r="E705">
        <v>0.071955</v>
      </c>
      <c r="G705">
        <v>0.073649</v>
      </c>
      <c r="H705">
        <v>0.069688</v>
      </c>
    </row>
    <row r="706" spans="4:8">
      <c r="D706">
        <v>0.074249</v>
      </c>
      <c r="E706">
        <v>0.071787</v>
      </c>
      <c r="G706">
        <v>0.072967</v>
      </c>
      <c r="H706">
        <v>0.069971</v>
      </c>
    </row>
    <row r="707" spans="4:8">
      <c r="D707">
        <v>0.073513</v>
      </c>
      <c r="E707">
        <v>0.071663</v>
      </c>
      <c r="G707">
        <v>0.073747</v>
      </c>
      <c r="H707">
        <v>0.071334</v>
      </c>
    </row>
    <row r="708" spans="4:8">
      <c r="D708">
        <v>0.073995</v>
      </c>
      <c r="E708">
        <v>0.07209</v>
      </c>
      <c r="G708">
        <v>0.073789</v>
      </c>
      <c r="H708">
        <v>0.071431</v>
      </c>
    </row>
    <row r="709" spans="4:8">
      <c r="D709">
        <v>0.073891</v>
      </c>
      <c r="E709">
        <v>0.071704</v>
      </c>
      <c r="G709">
        <v>0.072842</v>
      </c>
      <c r="H709">
        <v>0.069931</v>
      </c>
    </row>
    <row r="710" spans="4:8">
      <c r="D710">
        <v>0.074182</v>
      </c>
      <c r="E710">
        <v>0.071956</v>
      </c>
      <c r="G710">
        <v>0.073256</v>
      </c>
      <c r="H710">
        <v>0.070173</v>
      </c>
    </row>
    <row r="711" spans="4:8">
      <c r="D711">
        <v>0.073335</v>
      </c>
      <c r="E711">
        <v>0.071592</v>
      </c>
      <c r="G711">
        <v>0.072629</v>
      </c>
      <c r="H711">
        <v>0.069233</v>
      </c>
    </row>
    <row r="712" spans="4:8">
      <c r="D712">
        <v>0.073232</v>
      </c>
      <c r="E712">
        <v>0.071517</v>
      </c>
      <c r="G712">
        <v>0.073047</v>
      </c>
      <c r="H712">
        <v>0.070005</v>
      </c>
    </row>
    <row r="713" spans="4:8">
      <c r="D713">
        <v>0.073539</v>
      </c>
      <c r="E713">
        <v>0.071702</v>
      </c>
      <c r="G713">
        <v>0.072774</v>
      </c>
      <c r="H713">
        <v>0.069562</v>
      </c>
    </row>
    <row r="714" spans="4:8">
      <c r="D714">
        <v>0.07346</v>
      </c>
      <c r="E714">
        <v>0.071802</v>
      </c>
      <c r="G714">
        <v>0.072898</v>
      </c>
      <c r="H714">
        <v>0.069459</v>
      </c>
    </row>
    <row r="715" spans="4:8">
      <c r="D715">
        <v>0.073108</v>
      </c>
      <c r="E715">
        <v>0.071095</v>
      </c>
      <c r="G715">
        <v>0.071933</v>
      </c>
      <c r="H715">
        <v>0.069443</v>
      </c>
    </row>
    <row r="716" spans="4:8">
      <c r="D716">
        <v>0.073479</v>
      </c>
      <c r="E716">
        <v>0.071687</v>
      </c>
      <c r="G716">
        <v>0.072119</v>
      </c>
      <c r="H716">
        <v>0.069021</v>
      </c>
    </row>
    <row r="717" spans="4:8">
      <c r="D717">
        <v>0.073125</v>
      </c>
      <c r="E717">
        <v>0.071295</v>
      </c>
      <c r="G717">
        <v>0.072837</v>
      </c>
      <c r="H717">
        <v>0.070099</v>
      </c>
    </row>
    <row r="718" spans="4:8">
      <c r="D718">
        <v>0.073545</v>
      </c>
      <c r="E718">
        <v>0.071845</v>
      </c>
      <c r="G718">
        <v>0.073066</v>
      </c>
      <c r="H718">
        <v>0.069947</v>
      </c>
    </row>
    <row r="719" spans="4:8">
      <c r="D719">
        <v>0.07357</v>
      </c>
      <c r="E719">
        <v>0.071374</v>
      </c>
      <c r="G719">
        <v>0.07259</v>
      </c>
      <c r="H719">
        <v>0.069748</v>
      </c>
    </row>
    <row r="720" spans="4:8">
      <c r="D720">
        <v>0.073071</v>
      </c>
      <c r="E720">
        <v>0.071494</v>
      </c>
      <c r="G720">
        <v>0.07251</v>
      </c>
      <c r="H720">
        <v>0.069189</v>
      </c>
    </row>
    <row r="721" spans="4:8">
      <c r="D721">
        <v>0.073699</v>
      </c>
      <c r="E721">
        <v>0.071668</v>
      </c>
      <c r="G721">
        <v>0.072655</v>
      </c>
      <c r="H721">
        <v>0.069263</v>
      </c>
    </row>
    <row r="722" spans="4:8">
      <c r="D722">
        <v>0.073792</v>
      </c>
      <c r="E722">
        <v>0.071549</v>
      </c>
      <c r="G722">
        <v>0.073407</v>
      </c>
      <c r="H722">
        <v>0.070503</v>
      </c>
    </row>
    <row r="723" spans="4:8">
      <c r="D723">
        <v>0.073844</v>
      </c>
      <c r="E723">
        <v>0.071268</v>
      </c>
      <c r="G723">
        <v>0.072557</v>
      </c>
      <c r="H723">
        <v>0.069756</v>
      </c>
    </row>
    <row r="724" spans="4:8">
      <c r="D724">
        <v>0.072801</v>
      </c>
      <c r="E724">
        <v>0.071077</v>
      </c>
      <c r="G724">
        <v>0.072803</v>
      </c>
      <c r="H724">
        <v>0.070174</v>
      </c>
    </row>
    <row r="725" spans="4:8">
      <c r="D725">
        <v>0.073227</v>
      </c>
      <c r="E725">
        <v>0.071397</v>
      </c>
      <c r="G725">
        <v>0.072945</v>
      </c>
      <c r="H725">
        <v>0.069504</v>
      </c>
    </row>
    <row r="726" spans="4:8">
      <c r="D726">
        <v>0.072725</v>
      </c>
      <c r="E726">
        <v>0.070932</v>
      </c>
      <c r="G726">
        <v>0.072942</v>
      </c>
      <c r="H726">
        <v>0.069539</v>
      </c>
    </row>
    <row r="727" spans="4:8">
      <c r="D727">
        <v>0.073098</v>
      </c>
      <c r="E727">
        <v>0.071376</v>
      </c>
      <c r="G727">
        <v>0.072668</v>
      </c>
      <c r="H727">
        <v>0.069356</v>
      </c>
    </row>
    <row r="728" spans="4:8">
      <c r="D728">
        <v>0.073162</v>
      </c>
      <c r="E728">
        <v>0.071135</v>
      </c>
      <c r="G728">
        <v>0.07226</v>
      </c>
      <c r="H728">
        <v>0.069202</v>
      </c>
    </row>
    <row r="729" spans="4:8">
      <c r="D729">
        <v>0.073173</v>
      </c>
      <c r="E729">
        <v>0.071623</v>
      </c>
      <c r="G729">
        <v>0.072591</v>
      </c>
      <c r="H729">
        <v>0.069553</v>
      </c>
    </row>
    <row r="730" spans="4:8">
      <c r="D730">
        <v>0.07291</v>
      </c>
      <c r="E730">
        <v>0.071268</v>
      </c>
      <c r="G730">
        <v>0.072669</v>
      </c>
      <c r="H730">
        <v>0.069502</v>
      </c>
    </row>
    <row r="731" spans="4:8">
      <c r="D731">
        <v>0.072814</v>
      </c>
      <c r="E731">
        <v>0.070889</v>
      </c>
      <c r="G731">
        <v>0.072549</v>
      </c>
      <c r="H731">
        <v>0.069407</v>
      </c>
    </row>
    <row r="732" spans="4:8">
      <c r="D732">
        <v>0.072544</v>
      </c>
      <c r="E732">
        <v>0.071328</v>
      </c>
      <c r="G732">
        <v>0.073392</v>
      </c>
      <c r="H732">
        <v>0.070253</v>
      </c>
    </row>
    <row r="733" spans="4:8">
      <c r="D733">
        <v>0.07274</v>
      </c>
      <c r="E733">
        <v>0.071007</v>
      </c>
      <c r="G733">
        <v>0.072531</v>
      </c>
      <c r="H733">
        <v>0.069418</v>
      </c>
    </row>
    <row r="734" spans="4:8">
      <c r="D734">
        <v>0.073172</v>
      </c>
      <c r="E734">
        <v>0.071042</v>
      </c>
      <c r="G734">
        <v>0.073244</v>
      </c>
      <c r="H734">
        <v>0.069356</v>
      </c>
    </row>
    <row r="735" spans="4:8">
      <c r="D735">
        <v>0.073001</v>
      </c>
      <c r="E735">
        <v>0.071168</v>
      </c>
      <c r="G735">
        <v>0.072623</v>
      </c>
      <c r="H735">
        <v>0.069371</v>
      </c>
    </row>
    <row r="736" spans="4:8">
      <c r="D736">
        <v>0.072842</v>
      </c>
      <c r="E736">
        <v>0.071185</v>
      </c>
      <c r="G736">
        <v>0.07288</v>
      </c>
      <c r="H736">
        <v>0.069256</v>
      </c>
    </row>
    <row r="737" spans="4:8">
      <c r="D737">
        <v>0.072823</v>
      </c>
      <c r="E737">
        <v>0.071024</v>
      </c>
      <c r="G737">
        <v>0.072544</v>
      </c>
      <c r="H737">
        <v>0.069459</v>
      </c>
    </row>
    <row r="738" spans="4:8">
      <c r="D738">
        <v>0.073779</v>
      </c>
      <c r="E738">
        <v>0.072347</v>
      </c>
      <c r="G738">
        <v>0.07215</v>
      </c>
      <c r="H738">
        <v>0.068936</v>
      </c>
    </row>
    <row r="739" spans="4:8">
      <c r="D739">
        <v>0.073044</v>
      </c>
      <c r="E739">
        <v>0.07111</v>
      </c>
      <c r="G739">
        <v>0.072208</v>
      </c>
      <c r="H739">
        <v>0.06879</v>
      </c>
    </row>
    <row r="740" spans="4:8">
      <c r="D740">
        <v>0.072913</v>
      </c>
      <c r="E740">
        <v>0.071321</v>
      </c>
      <c r="G740">
        <v>0.072304</v>
      </c>
      <c r="H740">
        <v>0.069076</v>
      </c>
    </row>
    <row r="741" spans="4:8">
      <c r="D741">
        <v>0.073071</v>
      </c>
      <c r="E741">
        <v>0.071469</v>
      </c>
      <c r="G741">
        <v>0.075074</v>
      </c>
      <c r="H741">
        <v>0.071428</v>
      </c>
    </row>
    <row r="742" spans="4:8">
      <c r="D742">
        <v>0.073036</v>
      </c>
      <c r="E742">
        <v>0.071024</v>
      </c>
      <c r="G742">
        <v>0.072505</v>
      </c>
      <c r="H742">
        <v>0.069132</v>
      </c>
    </row>
    <row r="743" spans="4:8">
      <c r="D743">
        <v>0.072876</v>
      </c>
      <c r="E743">
        <v>0.071002</v>
      </c>
      <c r="G743">
        <v>0.072874</v>
      </c>
      <c r="H743">
        <v>0.069278</v>
      </c>
    </row>
    <row r="744" spans="4:8">
      <c r="D744">
        <v>0.073046</v>
      </c>
      <c r="E744">
        <v>0.071141</v>
      </c>
      <c r="G744">
        <v>0.072735</v>
      </c>
      <c r="H744">
        <v>0.069862</v>
      </c>
    </row>
    <row r="745" spans="4:8">
      <c r="D745">
        <v>0.073541</v>
      </c>
      <c r="E745">
        <v>0.071763</v>
      </c>
      <c r="G745">
        <v>0.07288</v>
      </c>
      <c r="H745">
        <v>0.07025</v>
      </c>
    </row>
    <row r="746" spans="4:8">
      <c r="D746">
        <v>0.072667</v>
      </c>
      <c r="E746">
        <v>0.070747</v>
      </c>
      <c r="G746">
        <v>0.072263</v>
      </c>
      <c r="H746">
        <v>0.069338</v>
      </c>
    </row>
    <row r="747" spans="4:8">
      <c r="D747">
        <v>0.073546</v>
      </c>
      <c r="E747">
        <v>0.071392</v>
      </c>
      <c r="G747">
        <v>0.072414</v>
      </c>
      <c r="H747">
        <v>0.068925</v>
      </c>
    </row>
    <row r="748" spans="4:8">
      <c r="D748">
        <v>0.074573</v>
      </c>
      <c r="E748">
        <v>0.072545</v>
      </c>
      <c r="G748">
        <v>0.072644</v>
      </c>
      <c r="H748">
        <v>0.069477</v>
      </c>
    </row>
    <row r="749" spans="4:8">
      <c r="D749">
        <v>0.072753</v>
      </c>
      <c r="E749">
        <v>0.070878</v>
      </c>
      <c r="G749">
        <v>0.071942</v>
      </c>
      <c r="H749">
        <v>0.06881</v>
      </c>
    </row>
    <row r="750" spans="4:8">
      <c r="D750">
        <v>0.073156</v>
      </c>
      <c r="E750">
        <v>0.071452</v>
      </c>
      <c r="G750">
        <v>0.073399</v>
      </c>
      <c r="H750">
        <v>0.070287</v>
      </c>
    </row>
    <row r="751" spans="4:8">
      <c r="D751">
        <v>0.073272</v>
      </c>
      <c r="E751">
        <v>0.071554</v>
      </c>
      <c r="G751">
        <v>0.072102</v>
      </c>
      <c r="H751">
        <v>0.068848</v>
      </c>
    </row>
    <row r="752" spans="4:8">
      <c r="D752">
        <v>0.073022</v>
      </c>
      <c r="E752">
        <v>0.071053</v>
      </c>
      <c r="G752">
        <v>0.072735</v>
      </c>
      <c r="H752">
        <v>0.069184</v>
      </c>
    </row>
    <row r="753" spans="4:8">
      <c r="D753">
        <v>0.072718</v>
      </c>
      <c r="E753">
        <v>0.071081</v>
      </c>
      <c r="G753">
        <v>0.072484</v>
      </c>
      <c r="H753">
        <v>0.068881</v>
      </c>
    </row>
    <row r="754" spans="4:8">
      <c r="D754">
        <v>0.073094</v>
      </c>
      <c r="E754">
        <v>0.071422</v>
      </c>
      <c r="G754">
        <v>0.072491</v>
      </c>
      <c r="H754">
        <v>0.068882</v>
      </c>
    </row>
    <row r="755" spans="4:8">
      <c r="D755">
        <v>0.072906</v>
      </c>
      <c r="E755">
        <v>0.070659</v>
      </c>
      <c r="G755">
        <v>0.072233</v>
      </c>
      <c r="H755">
        <v>0.068996</v>
      </c>
    </row>
    <row r="756" spans="4:8">
      <c r="D756">
        <v>0.072766</v>
      </c>
      <c r="E756">
        <v>0.070544</v>
      </c>
      <c r="G756">
        <v>0.072463</v>
      </c>
      <c r="H756">
        <v>0.068853</v>
      </c>
    </row>
    <row r="757" spans="4:8">
      <c r="D757">
        <v>0.07315</v>
      </c>
      <c r="E757">
        <v>0.071274</v>
      </c>
      <c r="G757">
        <v>0.072388</v>
      </c>
      <c r="H757">
        <v>0.069122</v>
      </c>
    </row>
    <row r="758" spans="4:8">
      <c r="D758">
        <v>0.072626</v>
      </c>
      <c r="E758">
        <v>0.070515</v>
      </c>
      <c r="G758">
        <v>0.072154</v>
      </c>
      <c r="H758">
        <v>0.068798</v>
      </c>
    </row>
    <row r="759" spans="4:8">
      <c r="D759">
        <v>0.072798</v>
      </c>
      <c r="E759">
        <v>0.070866</v>
      </c>
      <c r="G759">
        <v>0.071976</v>
      </c>
      <c r="H759">
        <v>0.068768</v>
      </c>
    </row>
    <row r="760" spans="4:8">
      <c r="D760">
        <v>0.072967</v>
      </c>
      <c r="E760">
        <v>0.070692</v>
      </c>
      <c r="G760">
        <v>0.071885</v>
      </c>
      <c r="H760">
        <v>0.068635</v>
      </c>
    </row>
    <row r="761" spans="4:8">
      <c r="D761">
        <v>0.072944</v>
      </c>
      <c r="E761">
        <v>0.071153</v>
      </c>
      <c r="G761">
        <v>0.07243</v>
      </c>
      <c r="H761">
        <v>0.069215</v>
      </c>
    </row>
    <row r="762" spans="4:8">
      <c r="D762">
        <v>0.074149</v>
      </c>
      <c r="E762">
        <v>0.071889</v>
      </c>
      <c r="G762">
        <v>0.072845</v>
      </c>
      <c r="H762">
        <v>0.069456</v>
      </c>
    </row>
    <row r="763" spans="4:8">
      <c r="D763">
        <v>0.07398</v>
      </c>
      <c r="E763">
        <v>0.072395</v>
      </c>
      <c r="G763">
        <v>0.071707</v>
      </c>
      <c r="H763">
        <v>0.068674</v>
      </c>
    </row>
    <row r="764" spans="4:8">
      <c r="D764">
        <v>0.072992</v>
      </c>
      <c r="E764">
        <v>0.071133</v>
      </c>
      <c r="G764">
        <v>0.072127</v>
      </c>
      <c r="H764">
        <v>0.069148</v>
      </c>
    </row>
    <row r="765" spans="4:8">
      <c r="D765">
        <v>0.072336</v>
      </c>
      <c r="E765">
        <v>0.070226</v>
      </c>
      <c r="G765">
        <v>0.072255</v>
      </c>
      <c r="H765">
        <v>0.068993</v>
      </c>
    </row>
    <row r="766" spans="4:8">
      <c r="D766">
        <v>0.073192</v>
      </c>
      <c r="E766">
        <v>0.071213</v>
      </c>
      <c r="G766">
        <v>0.07221</v>
      </c>
      <c r="H766">
        <v>0.068626</v>
      </c>
    </row>
    <row r="767" spans="4:8">
      <c r="D767">
        <v>0.072544</v>
      </c>
      <c r="E767">
        <v>0.070472</v>
      </c>
      <c r="G767">
        <v>0.072427</v>
      </c>
      <c r="H767">
        <v>0.069529</v>
      </c>
    </row>
    <row r="768" spans="4:8">
      <c r="D768">
        <v>0.072274</v>
      </c>
      <c r="E768">
        <v>0.070432</v>
      </c>
      <c r="G768">
        <v>0.071723</v>
      </c>
      <c r="H768">
        <v>0.068573</v>
      </c>
    </row>
    <row r="769" spans="4:8">
      <c r="D769">
        <v>0.072783</v>
      </c>
      <c r="E769">
        <v>0.070555</v>
      </c>
      <c r="G769">
        <v>0.072115</v>
      </c>
      <c r="H769">
        <v>0.068504</v>
      </c>
    </row>
    <row r="770" spans="4:8">
      <c r="D770">
        <v>0.072368</v>
      </c>
      <c r="E770">
        <v>0.070902</v>
      </c>
      <c r="G770">
        <v>0.072315</v>
      </c>
      <c r="H770">
        <v>0.069368</v>
      </c>
    </row>
    <row r="771" spans="4:8">
      <c r="D771">
        <v>0.073103</v>
      </c>
      <c r="E771">
        <v>0.071155</v>
      </c>
      <c r="G771">
        <v>0.07209</v>
      </c>
      <c r="H771">
        <v>0.068745</v>
      </c>
    </row>
    <row r="772" spans="4:8">
      <c r="D772">
        <v>0.072647</v>
      </c>
      <c r="E772">
        <v>0.07088</v>
      </c>
      <c r="G772">
        <v>0.072527</v>
      </c>
      <c r="H772">
        <v>0.068998</v>
      </c>
    </row>
    <row r="773" spans="4:8">
      <c r="D773">
        <v>0.072853</v>
      </c>
      <c r="E773">
        <v>0.070701</v>
      </c>
      <c r="G773">
        <v>0.072463</v>
      </c>
      <c r="H773">
        <v>0.069162</v>
      </c>
    </row>
    <row r="774" spans="4:8">
      <c r="D774">
        <v>0.072649</v>
      </c>
      <c r="E774">
        <v>0.070796</v>
      </c>
      <c r="G774">
        <v>0.072982</v>
      </c>
      <c r="H774">
        <v>0.069112</v>
      </c>
    </row>
    <row r="775" spans="4:8">
      <c r="D775">
        <v>0.072322</v>
      </c>
      <c r="E775">
        <v>0.070446</v>
      </c>
      <c r="G775">
        <v>0.071967</v>
      </c>
      <c r="H775">
        <v>0.068642</v>
      </c>
    </row>
    <row r="776" spans="4:8">
      <c r="D776">
        <v>0.072178</v>
      </c>
      <c r="E776">
        <v>0.070437</v>
      </c>
      <c r="G776">
        <v>0.07177</v>
      </c>
      <c r="H776">
        <v>0.068599</v>
      </c>
    </row>
    <row r="777" spans="4:8">
      <c r="D777">
        <v>0.072315</v>
      </c>
      <c r="E777">
        <v>0.070538</v>
      </c>
      <c r="G777">
        <v>0.072157</v>
      </c>
      <c r="H777">
        <v>0.06879</v>
      </c>
    </row>
    <row r="778" spans="4:8">
      <c r="D778">
        <v>0.072584</v>
      </c>
      <c r="E778">
        <v>0.070996</v>
      </c>
      <c r="G778">
        <v>0.071948</v>
      </c>
      <c r="H778">
        <v>0.068624</v>
      </c>
    </row>
    <row r="779" spans="4:8">
      <c r="D779">
        <v>0.072161</v>
      </c>
      <c r="E779">
        <v>0.070467</v>
      </c>
      <c r="G779">
        <v>0.072134</v>
      </c>
      <c r="H779">
        <v>0.068814</v>
      </c>
    </row>
    <row r="780" spans="4:8">
      <c r="D780">
        <v>0.072387</v>
      </c>
      <c r="E780">
        <v>0.070338</v>
      </c>
      <c r="G780">
        <v>0.071848</v>
      </c>
      <c r="H780">
        <v>0.068437</v>
      </c>
    </row>
    <row r="781" spans="4:8">
      <c r="D781">
        <v>0.072698</v>
      </c>
      <c r="E781">
        <v>0.07066</v>
      </c>
      <c r="G781">
        <v>0.072247</v>
      </c>
      <c r="H781">
        <v>0.068542</v>
      </c>
    </row>
    <row r="782" spans="4:8">
      <c r="D782">
        <v>0.072372</v>
      </c>
      <c r="E782">
        <v>0.070774</v>
      </c>
      <c r="G782">
        <v>0.072002</v>
      </c>
      <c r="H782">
        <v>0.069048</v>
      </c>
    </row>
    <row r="783" spans="4:8">
      <c r="D783">
        <v>0.072161</v>
      </c>
      <c r="E783">
        <v>0.070423</v>
      </c>
      <c r="G783">
        <v>0.071932</v>
      </c>
      <c r="H783">
        <v>0.068477</v>
      </c>
    </row>
    <row r="784" spans="4:8">
      <c r="D784">
        <v>0.072247</v>
      </c>
      <c r="E784">
        <v>0.07041</v>
      </c>
      <c r="G784">
        <v>0.071798</v>
      </c>
      <c r="H784">
        <v>0.068429</v>
      </c>
    </row>
    <row r="785" spans="4:8">
      <c r="D785">
        <v>0.072532</v>
      </c>
      <c r="E785">
        <v>0.0706</v>
      </c>
      <c r="G785">
        <v>0.072729</v>
      </c>
      <c r="H785">
        <v>0.068951</v>
      </c>
    </row>
    <row r="786" spans="4:8">
      <c r="D786">
        <v>0.072272</v>
      </c>
      <c r="E786">
        <v>0.070784</v>
      </c>
      <c r="G786">
        <v>0.071908</v>
      </c>
      <c r="H786">
        <v>0.068584</v>
      </c>
    </row>
    <row r="787" spans="4:8">
      <c r="D787">
        <v>0.072389</v>
      </c>
      <c r="E787">
        <v>0.070298</v>
      </c>
      <c r="G787">
        <v>0.071876</v>
      </c>
      <c r="H787">
        <v>0.06829</v>
      </c>
    </row>
    <row r="788" spans="4:8">
      <c r="D788">
        <v>0.072484</v>
      </c>
      <c r="E788">
        <v>0.070672</v>
      </c>
      <c r="G788">
        <v>0.072332</v>
      </c>
      <c r="H788">
        <v>0.068796</v>
      </c>
    </row>
    <row r="789" spans="4:8">
      <c r="D789">
        <v>0.072599</v>
      </c>
      <c r="E789">
        <v>0.070686</v>
      </c>
      <c r="G789">
        <v>0.07184</v>
      </c>
      <c r="H789">
        <v>0.068498</v>
      </c>
    </row>
    <row r="790" spans="4:8">
      <c r="D790">
        <v>0.072982</v>
      </c>
      <c r="E790">
        <v>0.070946</v>
      </c>
      <c r="G790">
        <v>0.072019</v>
      </c>
      <c r="H790">
        <v>0.068579</v>
      </c>
    </row>
    <row r="791" spans="4:8">
      <c r="D791">
        <v>0.072635</v>
      </c>
      <c r="E791">
        <v>0.070469</v>
      </c>
      <c r="G791">
        <v>0.072207</v>
      </c>
      <c r="H791">
        <v>0.069164</v>
      </c>
    </row>
    <row r="792" spans="4:8">
      <c r="D792">
        <v>0.072422</v>
      </c>
      <c r="E792">
        <v>0.070584</v>
      </c>
      <c r="G792">
        <v>0.071976</v>
      </c>
      <c r="H792">
        <v>0.068952</v>
      </c>
    </row>
    <row r="793" spans="4:8">
      <c r="D793">
        <v>0.072877</v>
      </c>
      <c r="E793">
        <v>0.070775</v>
      </c>
      <c r="G793">
        <v>0.072223</v>
      </c>
      <c r="H793">
        <v>0.069101</v>
      </c>
    </row>
    <row r="794" spans="4:8">
      <c r="D794">
        <v>0.072818</v>
      </c>
      <c r="E794">
        <v>0.070665</v>
      </c>
      <c r="G794">
        <v>0.071778</v>
      </c>
      <c r="H794">
        <v>0.068565</v>
      </c>
    </row>
    <row r="795" spans="4:8">
      <c r="D795">
        <v>0.072292</v>
      </c>
      <c r="E795">
        <v>0.070351</v>
      </c>
      <c r="G795">
        <v>0.072435</v>
      </c>
      <c r="H795">
        <v>0.069428</v>
      </c>
    </row>
    <row r="796" spans="4:8">
      <c r="D796">
        <v>0.072775</v>
      </c>
      <c r="E796">
        <v>0.070817</v>
      </c>
      <c r="G796">
        <v>0.071827</v>
      </c>
      <c r="H796">
        <v>0.068613</v>
      </c>
    </row>
    <row r="797" spans="4:8">
      <c r="D797">
        <v>0.072584</v>
      </c>
      <c r="E797">
        <v>0.070642</v>
      </c>
      <c r="G797">
        <v>0.072032</v>
      </c>
      <c r="H797">
        <v>0.068834</v>
      </c>
    </row>
    <row r="798" spans="4:8">
      <c r="D798">
        <v>0.07284</v>
      </c>
      <c r="E798">
        <v>0.070763</v>
      </c>
      <c r="G798">
        <v>0.072245</v>
      </c>
      <c r="H798">
        <v>0.068847</v>
      </c>
    </row>
    <row r="799" spans="4:8">
      <c r="D799">
        <v>0.072637</v>
      </c>
      <c r="E799">
        <v>0.070497</v>
      </c>
      <c r="G799">
        <v>0.072145</v>
      </c>
      <c r="H799">
        <v>0.068838</v>
      </c>
    </row>
    <row r="800" spans="4:8">
      <c r="D800">
        <v>0.072352</v>
      </c>
      <c r="E800">
        <v>0.070563</v>
      </c>
      <c r="G800">
        <v>0.072128</v>
      </c>
      <c r="H800">
        <v>0.068833</v>
      </c>
    </row>
    <row r="801" spans="4:8">
      <c r="D801">
        <v>0.072722</v>
      </c>
      <c r="E801">
        <v>0.071045</v>
      </c>
      <c r="G801">
        <v>0.071862</v>
      </c>
      <c r="H801">
        <v>0.068499</v>
      </c>
    </row>
    <row r="802" spans="4:8">
      <c r="D802">
        <v>0.072376</v>
      </c>
      <c r="E802">
        <v>0.070291</v>
      </c>
      <c r="G802">
        <v>0.07186</v>
      </c>
      <c r="H802">
        <v>0.068622</v>
      </c>
    </row>
    <row r="803" spans="4:8">
      <c r="D803">
        <v>0.072454</v>
      </c>
      <c r="E803">
        <v>0.070596</v>
      </c>
      <c r="G803">
        <v>0.071876</v>
      </c>
      <c r="H803">
        <v>0.068745</v>
      </c>
    </row>
    <row r="804" spans="4:8">
      <c r="D804">
        <v>0.072791</v>
      </c>
      <c r="E804">
        <v>0.070605</v>
      </c>
      <c r="G804">
        <v>0.072092</v>
      </c>
      <c r="H804">
        <v>0.068654</v>
      </c>
    </row>
    <row r="805" spans="4:8">
      <c r="D805">
        <v>0.072491</v>
      </c>
      <c r="E805">
        <v>0.070805</v>
      </c>
      <c r="G805">
        <v>0.071822</v>
      </c>
      <c r="H805">
        <v>0.068397</v>
      </c>
    </row>
    <row r="806" spans="4:8">
      <c r="D806">
        <v>0.072339</v>
      </c>
      <c r="E806">
        <v>0.07031</v>
      </c>
      <c r="G806">
        <v>0.071847</v>
      </c>
      <c r="H806">
        <v>0.068493</v>
      </c>
    </row>
    <row r="807" spans="4:8">
      <c r="D807">
        <v>0.072505</v>
      </c>
      <c r="E807">
        <v>0.070565</v>
      </c>
      <c r="G807">
        <v>0.071756</v>
      </c>
      <c r="H807">
        <v>0.068589</v>
      </c>
    </row>
    <row r="808" spans="4:8">
      <c r="D808">
        <v>0.072424</v>
      </c>
      <c r="E808">
        <v>0.070257</v>
      </c>
      <c r="G808">
        <v>0.071916</v>
      </c>
      <c r="H808">
        <v>0.068381</v>
      </c>
    </row>
    <row r="809" spans="4:8">
      <c r="D809">
        <v>0.072321</v>
      </c>
      <c r="E809">
        <v>0.070443</v>
      </c>
      <c r="G809">
        <v>0.071901</v>
      </c>
      <c r="H809">
        <v>0.068559</v>
      </c>
    </row>
    <row r="810" spans="4:8">
      <c r="D810">
        <v>0.072403</v>
      </c>
      <c r="E810">
        <v>0.070344</v>
      </c>
      <c r="G810">
        <v>0.072201</v>
      </c>
      <c r="H810">
        <v>0.068521</v>
      </c>
    </row>
    <row r="811" spans="4:8">
      <c r="D811">
        <v>0.072281</v>
      </c>
      <c r="E811">
        <v>0.070212</v>
      </c>
      <c r="G811">
        <v>0.071904</v>
      </c>
      <c r="H811">
        <v>0.068607</v>
      </c>
    </row>
    <row r="812" spans="4:8">
      <c r="D812">
        <v>0.072329</v>
      </c>
      <c r="E812">
        <v>0.070449</v>
      </c>
      <c r="G812">
        <v>0.072076</v>
      </c>
      <c r="H812">
        <v>0.068376</v>
      </c>
    </row>
    <row r="813" spans="4:8">
      <c r="D813">
        <v>0.072278</v>
      </c>
      <c r="E813">
        <v>0.070257</v>
      </c>
      <c r="G813">
        <v>0.071903</v>
      </c>
      <c r="H813">
        <v>0.068152</v>
      </c>
    </row>
    <row r="814" spans="4:8">
      <c r="D814">
        <v>0.072336</v>
      </c>
      <c r="E814">
        <v>0.070475</v>
      </c>
      <c r="G814">
        <v>0.071783</v>
      </c>
      <c r="H814">
        <v>0.068244</v>
      </c>
    </row>
    <row r="815" spans="4:8">
      <c r="D815">
        <v>0.072363</v>
      </c>
      <c r="E815">
        <v>0.07042</v>
      </c>
      <c r="G815">
        <v>0.071798</v>
      </c>
      <c r="H815">
        <v>0.068388</v>
      </c>
    </row>
    <row r="816" spans="4:8">
      <c r="D816">
        <v>0.072737</v>
      </c>
      <c r="E816">
        <v>0.070765</v>
      </c>
      <c r="G816">
        <v>0.072112</v>
      </c>
      <c r="H816">
        <v>0.068678</v>
      </c>
    </row>
    <row r="817" spans="4:8">
      <c r="D817">
        <v>0.072614</v>
      </c>
      <c r="E817">
        <v>0.070492</v>
      </c>
      <c r="G817">
        <v>0.071854</v>
      </c>
      <c r="H817">
        <v>0.068536</v>
      </c>
    </row>
    <row r="818" spans="4:8">
      <c r="D818">
        <v>0.072272</v>
      </c>
      <c r="E818">
        <v>0.070396</v>
      </c>
      <c r="G818">
        <v>0.071918</v>
      </c>
      <c r="H818">
        <v>0.068382</v>
      </c>
    </row>
    <row r="819" spans="4:8">
      <c r="D819">
        <v>0.072279</v>
      </c>
      <c r="E819">
        <v>0.070448</v>
      </c>
      <c r="G819">
        <v>0.071882</v>
      </c>
      <c r="H819">
        <v>0.068472</v>
      </c>
    </row>
    <row r="820" spans="4:8">
      <c r="D820">
        <v>0.072397</v>
      </c>
      <c r="E820">
        <v>0.070461</v>
      </c>
      <c r="G820">
        <v>0.071778</v>
      </c>
      <c r="H820">
        <v>0.068547</v>
      </c>
    </row>
    <row r="821" spans="4:8">
      <c r="D821">
        <v>0.072399</v>
      </c>
      <c r="E821">
        <v>0.0704</v>
      </c>
      <c r="G821">
        <v>0.072036</v>
      </c>
      <c r="H821">
        <v>0.06891</v>
      </c>
    </row>
    <row r="822" spans="4:8">
      <c r="D822">
        <v>0.072328</v>
      </c>
      <c r="E822">
        <v>0.070391</v>
      </c>
      <c r="G822">
        <v>0.071745</v>
      </c>
      <c r="H822">
        <v>0.068393</v>
      </c>
    </row>
    <row r="823" spans="4:8">
      <c r="D823">
        <v>0.072233</v>
      </c>
      <c r="E823">
        <v>0.070281</v>
      </c>
      <c r="G823">
        <v>0.071934</v>
      </c>
      <c r="H823">
        <v>0.068494</v>
      </c>
    </row>
    <row r="824" spans="4:8">
      <c r="D824">
        <v>0.072195</v>
      </c>
      <c r="E824">
        <v>0.070489</v>
      </c>
      <c r="G824">
        <v>0.071755</v>
      </c>
      <c r="H824">
        <v>0.068389</v>
      </c>
    </row>
    <row r="825" spans="4:8">
      <c r="D825">
        <v>0.072245</v>
      </c>
      <c r="E825">
        <v>0.070615</v>
      </c>
      <c r="G825">
        <v>0.071838</v>
      </c>
      <c r="H825">
        <v>0.068395</v>
      </c>
    </row>
    <row r="826" spans="4:8">
      <c r="D826">
        <v>0.072429</v>
      </c>
      <c r="E826">
        <v>0.070401</v>
      </c>
      <c r="G826">
        <v>0.071938</v>
      </c>
      <c r="H826">
        <v>0.068532</v>
      </c>
    </row>
    <row r="827" spans="4:8">
      <c r="D827">
        <v>0.072229</v>
      </c>
      <c r="E827">
        <v>0.070313</v>
      </c>
      <c r="G827">
        <v>0.0719</v>
      </c>
      <c r="H827">
        <v>0.068361</v>
      </c>
    </row>
    <row r="828" spans="4:8">
      <c r="D828">
        <v>0.072168</v>
      </c>
      <c r="E828">
        <v>0.070169</v>
      </c>
      <c r="G828">
        <v>0.071913</v>
      </c>
      <c r="H828">
        <v>0.068457</v>
      </c>
    </row>
    <row r="829" spans="4:8">
      <c r="D829">
        <v>0.072321</v>
      </c>
      <c r="E829">
        <v>0.070356</v>
      </c>
      <c r="G829">
        <v>0.071736</v>
      </c>
      <c r="H829">
        <v>0.068363</v>
      </c>
    </row>
    <row r="830" spans="4:8">
      <c r="D830">
        <v>0.07234</v>
      </c>
      <c r="E830">
        <v>0.070322</v>
      </c>
      <c r="G830">
        <v>0.071778</v>
      </c>
      <c r="H830">
        <v>0.068577</v>
      </c>
    </row>
    <row r="831" spans="4:8">
      <c r="D831">
        <v>0.072257</v>
      </c>
      <c r="E831">
        <v>0.070309</v>
      </c>
      <c r="G831">
        <v>0.071907</v>
      </c>
      <c r="H831">
        <v>0.068588</v>
      </c>
    </row>
    <row r="832" spans="4:8">
      <c r="D832">
        <v>0.0723</v>
      </c>
      <c r="E832">
        <v>0.070282</v>
      </c>
      <c r="G832">
        <v>0.071881</v>
      </c>
      <c r="H832">
        <v>0.06852</v>
      </c>
    </row>
    <row r="833" spans="4:8">
      <c r="D833">
        <v>0.072293</v>
      </c>
      <c r="E833">
        <v>0.070239</v>
      </c>
      <c r="G833">
        <v>0.071771</v>
      </c>
      <c r="H833">
        <v>0.068484</v>
      </c>
    </row>
    <row r="834" spans="4:8">
      <c r="D834">
        <v>0.0723</v>
      </c>
      <c r="E834">
        <v>0.070194</v>
      </c>
      <c r="G834">
        <v>0.071861</v>
      </c>
      <c r="H834">
        <v>0.068365</v>
      </c>
    </row>
    <row r="835" spans="4:8">
      <c r="D835">
        <v>0.07231</v>
      </c>
      <c r="E835">
        <v>0.070291</v>
      </c>
      <c r="G835">
        <v>0.071813</v>
      </c>
      <c r="H835">
        <v>0.068213</v>
      </c>
    </row>
    <row r="836" spans="4:8">
      <c r="D836">
        <v>0.072233</v>
      </c>
      <c r="E836">
        <v>0.070305</v>
      </c>
      <c r="G836">
        <v>0.071772</v>
      </c>
      <c r="H836">
        <v>0.068392</v>
      </c>
    </row>
    <row r="837" spans="4:8">
      <c r="D837">
        <v>0.072113</v>
      </c>
      <c r="E837">
        <v>0.070211</v>
      </c>
      <c r="G837">
        <v>0.071878</v>
      </c>
      <c r="H837">
        <v>0.068645</v>
      </c>
    </row>
    <row r="838" spans="4:8">
      <c r="D838">
        <v>0.07239</v>
      </c>
      <c r="E838">
        <v>0.070379</v>
      </c>
      <c r="G838">
        <v>0.071977</v>
      </c>
      <c r="H838">
        <v>0.068562</v>
      </c>
    </row>
    <row r="839" spans="4:8">
      <c r="D839">
        <v>0.072206</v>
      </c>
      <c r="E839">
        <v>0.070156</v>
      </c>
      <c r="G839">
        <v>0.071969</v>
      </c>
      <c r="H839">
        <v>0.068509</v>
      </c>
    </row>
    <row r="840" spans="4:8">
      <c r="D840">
        <v>0.072175</v>
      </c>
      <c r="E840">
        <v>0.070282</v>
      </c>
      <c r="G840">
        <v>0.071843</v>
      </c>
      <c r="H840">
        <v>0.068243</v>
      </c>
    </row>
    <row r="841" spans="4:8">
      <c r="D841">
        <v>0.072183</v>
      </c>
      <c r="E841">
        <v>0.070357</v>
      </c>
      <c r="G841">
        <v>0.071742</v>
      </c>
      <c r="H841">
        <v>0.068183</v>
      </c>
    </row>
    <row r="842" spans="4:8">
      <c r="D842">
        <v>0.072267</v>
      </c>
      <c r="E842">
        <v>0.070335</v>
      </c>
      <c r="G842">
        <v>0.071778</v>
      </c>
      <c r="H842">
        <v>0.068366</v>
      </c>
    </row>
    <row r="843" spans="4:8">
      <c r="D843">
        <v>0.072393</v>
      </c>
      <c r="E843">
        <v>0.070528</v>
      </c>
      <c r="G843">
        <v>0.071892</v>
      </c>
      <c r="H843">
        <v>0.068254</v>
      </c>
    </row>
    <row r="844" spans="4:8">
      <c r="D844">
        <v>0.072016</v>
      </c>
      <c r="E844">
        <v>0.070206</v>
      </c>
      <c r="G844">
        <v>0.071811</v>
      </c>
      <c r="H844">
        <v>0.068361</v>
      </c>
    </row>
    <row r="845" spans="4:8">
      <c r="D845">
        <v>0.072349</v>
      </c>
      <c r="E845">
        <v>0.070196</v>
      </c>
      <c r="G845">
        <v>0.071653</v>
      </c>
      <c r="H845">
        <v>0.068259</v>
      </c>
    </row>
    <row r="846" spans="4:8">
      <c r="D846">
        <v>0.072123</v>
      </c>
      <c r="E846">
        <v>0.070175</v>
      </c>
      <c r="G846">
        <v>0.071832</v>
      </c>
      <c r="H846">
        <v>0.068326</v>
      </c>
    </row>
    <row r="847" spans="4:8">
      <c r="D847">
        <v>0.07219</v>
      </c>
      <c r="E847">
        <v>0.07035</v>
      </c>
      <c r="G847">
        <v>0.071788</v>
      </c>
      <c r="H847">
        <v>0.068492</v>
      </c>
    </row>
    <row r="848" spans="4:8">
      <c r="D848">
        <v>0.072233</v>
      </c>
      <c r="E848">
        <v>0.070169</v>
      </c>
      <c r="G848">
        <v>0.071688</v>
      </c>
      <c r="H848">
        <v>0.068264</v>
      </c>
    </row>
    <row r="849" spans="4:8">
      <c r="D849">
        <v>0.072149</v>
      </c>
      <c r="E849">
        <v>0.070325</v>
      </c>
      <c r="G849">
        <v>0.071809</v>
      </c>
      <c r="H849">
        <v>0.068512</v>
      </c>
    </row>
    <row r="850" spans="4:8">
      <c r="D850">
        <v>0.0722</v>
      </c>
      <c r="E850">
        <v>0.070255</v>
      </c>
      <c r="G850">
        <v>0.07189</v>
      </c>
      <c r="H850">
        <v>0.068108</v>
      </c>
    </row>
    <row r="851" spans="4:8">
      <c r="D851">
        <v>0.072216</v>
      </c>
      <c r="E851">
        <v>0.070237</v>
      </c>
      <c r="G851">
        <v>0.071788</v>
      </c>
      <c r="H851">
        <v>0.068277</v>
      </c>
    </row>
    <row r="852" spans="4:8">
      <c r="D852">
        <v>0.072236</v>
      </c>
      <c r="E852">
        <v>0.070306</v>
      </c>
      <c r="G852">
        <v>0.071757</v>
      </c>
      <c r="H852">
        <v>0.068277</v>
      </c>
    </row>
    <row r="853" spans="4:8">
      <c r="D853">
        <v>0.072351</v>
      </c>
      <c r="E853">
        <v>0.070462</v>
      </c>
      <c r="G853">
        <v>0.071808</v>
      </c>
      <c r="H853">
        <v>0.068358</v>
      </c>
    </row>
    <row r="854" spans="4:8">
      <c r="D854">
        <v>0.072272</v>
      </c>
      <c r="E854">
        <v>0.070394</v>
      </c>
      <c r="G854">
        <v>0.071975</v>
      </c>
      <c r="H854">
        <v>0.068421</v>
      </c>
    </row>
    <row r="855" spans="4:8">
      <c r="D855">
        <v>0.072615</v>
      </c>
      <c r="E855">
        <v>0.070459</v>
      </c>
      <c r="G855">
        <v>0.071726</v>
      </c>
      <c r="H855">
        <v>0.06841</v>
      </c>
    </row>
    <row r="856" spans="4:8">
      <c r="D856">
        <v>0.072309</v>
      </c>
      <c r="E856">
        <v>0.070302</v>
      </c>
      <c r="G856">
        <v>0.071841</v>
      </c>
      <c r="H856">
        <v>0.068218</v>
      </c>
    </row>
    <row r="857" spans="4:8">
      <c r="D857">
        <v>0.072217</v>
      </c>
      <c r="E857">
        <v>0.070284</v>
      </c>
      <c r="G857">
        <v>0.071711</v>
      </c>
      <c r="H857">
        <v>0.068275</v>
      </c>
    </row>
    <row r="858" spans="4:8">
      <c r="D858">
        <v>0.072283</v>
      </c>
      <c r="E858">
        <v>0.070313</v>
      </c>
      <c r="G858">
        <v>0.07173</v>
      </c>
      <c r="H858">
        <v>0.068249</v>
      </c>
    </row>
    <row r="859" spans="4:8">
      <c r="D859">
        <v>0.072196</v>
      </c>
      <c r="E859">
        <v>0.070262</v>
      </c>
      <c r="G859">
        <v>0.071767</v>
      </c>
      <c r="H859">
        <v>0.068186</v>
      </c>
    </row>
    <row r="860" spans="4:8">
      <c r="D860">
        <v>0.072201</v>
      </c>
      <c r="E860">
        <v>0.070335</v>
      </c>
      <c r="G860">
        <v>0.071722</v>
      </c>
      <c r="H860">
        <v>0.068299</v>
      </c>
    </row>
    <row r="861" spans="4:8">
      <c r="D861">
        <v>0.072386</v>
      </c>
      <c r="E861">
        <v>0.070474</v>
      </c>
      <c r="G861">
        <v>0.071848</v>
      </c>
      <c r="H861">
        <v>0.068323</v>
      </c>
    </row>
    <row r="862" spans="4:8">
      <c r="D862">
        <v>0.072204</v>
      </c>
      <c r="E862">
        <v>0.07023</v>
      </c>
      <c r="G862">
        <v>0.071726</v>
      </c>
      <c r="H862">
        <v>0.068298</v>
      </c>
    </row>
    <row r="863" spans="4:8">
      <c r="D863">
        <v>0.072243</v>
      </c>
      <c r="E863">
        <v>0.070295</v>
      </c>
      <c r="G863">
        <v>0.071845</v>
      </c>
      <c r="H863">
        <v>0.068292</v>
      </c>
    </row>
    <row r="864" spans="4:8">
      <c r="D864">
        <v>0.072258</v>
      </c>
      <c r="E864">
        <v>0.070326</v>
      </c>
      <c r="G864">
        <v>0.07174</v>
      </c>
      <c r="H864">
        <v>0.068421</v>
      </c>
    </row>
    <row r="865" spans="4:8">
      <c r="D865">
        <v>0.072159</v>
      </c>
      <c r="E865">
        <v>0.070272</v>
      </c>
      <c r="G865">
        <v>0.071773</v>
      </c>
      <c r="H865">
        <v>0.068259</v>
      </c>
    </row>
    <row r="866" spans="4:8">
      <c r="D866">
        <v>0.072134</v>
      </c>
      <c r="E866">
        <v>0.070292</v>
      </c>
      <c r="G866">
        <v>0.071695</v>
      </c>
      <c r="H866">
        <v>0.068272</v>
      </c>
    </row>
    <row r="867" spans="4:8">
      <c r="D867">
        <v>0.072319</v>
      </c>
      <c r="E867">
        <v>0.070259</v>
      </c>
      <c r="G867">
        <v>0.071624</v>
      </c>
      <c r="H867">
        <v>0.068118</v>
      </c>
    </row>
    <row r="868" spans="4:8">
      <c r="D868">
        <v>0.072198</v>
      </c>
      <c r="E868">
        <v>0.070268</v>
      </c>
      <c r="G868">
        <v>0.072024</v>
      </c>
      <c r="H868">
        <v>0.068692</v>
      </c>
    </row>
    <row r="869" spans="4:8">
      <c r="D869">
        <v>0.072355</v>
      </c>
      <c r="E869">
        <v>0.070245</v>
      </c>
      <c r="G869">
        <v>0.071691</v>
      </c>
      <c r="H869">
        <v>0.068228</v>
      </c>
    </row>
    <row r="870" spans="4:8">
      <c r="D870">
        <v>0.07233</v>
      </c>
      <c r="E870">
        <v>0.070268</v>
      </c>
      <c r="G870">
        <v>0.071868</v>
      </c>
      <c r="H870">
        <v>0.068262</v>
      </c>
    </row>
    <row r="871" spans="4:8">
      <c r="D871">
        <v>0.072241</v>
      </c>
      <c r="E871">
        <v>0.070225</v>
      </c>
      <c r="G871">
        <v>0.071812</v>
      </c>
      <c r="H871">
        <v>0.068288</v>
      </c>
    </row>
    <row r="872" spans="4:8">
      <c r="D872">
        <v>0.072253</v>
      </c>
      <c r="E872">
        <v>0.070281</v>
      </c>
      <c r="G872">
        <v>0.071604</v>
      </c>
      <c r="H872">
        <v>0.068317</v>
      </c>
    </row>
    <row r="873" spans="4:8">
      <c r="D873">
        <v>0.072183</v>
      </c>
      <c r="E873">
        <v>0.07036</v>
      </c>
      <c r="G873">
        <v>0.071771</v>
      </c>
      <c r="H873">
        <v>0.068265</v>
      </c>
    </row>
    <row r="874" spans="4:8">
      <c r="D874">
        <v>0.07225</v>
      </c>
      <c r="E874">
        <v>0.070303</v>
      </c>
      <c r="G874">
        <v>0.07175</v>
      </c>
      <c r="H874">
        <v>0.068224</v>
      </c>
    </row>
    <row r="875" spans="4:8">
      <c r="D875">
        <v>0.072361</v>
      </c>
      <c r="E875">
        <v>0.070303</v>
      </c>
      <c r="G875">
        <v>0.071871</v>
      </c>
      <c r="H875">
        <v>0.068309</v>
      </c>
    </row>
    <row r="876" spans="4:8">
      <c r="D876">
        <v>0.072245</v>
      </c>
      <c r="E876">
        <v>0.070341</v>
      </c>
      <c r="G876">
        <v>0.071763</v>
      </c>
      <c r="H876">
        <v>0.068284</v>
      </c>
    </row>
    <row r="877" spans="4:8">
      <c r="D877">
        <v>0.072205</v>
      </c>
      <c r="E877">
        <v>0.070287</v>
      </c>
      <c r="G877">
        <v>0.071774</v>
      </c>
      <c r="H877">
        <v>0.068376</v>
      </c>
    </row>
    <row r="878" spans="4:8">
      <c r="D878">
        <v>0.072242</v>
      </c>
      <c r="E878">
        <v>0.070229</v>
      </c>
      <c r="G878">
        <v>0.07173</v>
      </c>
      <c r="H878">
        <v>0.06823</v>
      </c>
    </row>
    <row r="879" spans="4:8">
      <c r="D879">
        <v>0.072338</v>
      </c>
      <c r="E879">
        <v>0.070247</v>
      </c>
      <c r="G879">
        <v>0.071745</v>
      </c>
      <c r="H879">
        <v>0.06833</v>
      </c>
    </row>
    <row r="880" spans="4:8">
      <c r="D880">
        <v>0.072214</v>
      </c>
      <c r="E880">
        <v>0.070357</v>
      </c>
      <c r="G880">
        <v>0.071726</v>
      </c>
      <c r="H880">
        <v>0.068182</v>
      </c>
    </row>
    <row r="881" spans="4:8">
      <c r="D881">
        <v>0.072176</v>
      </c>
      <c r="E881">
        <v>0.070305</v>
      </c>
      <c r="G881">
        <v>0.071699</v>
      </c>
      <c r="H881">
        <v>0.068438</v>
      </c>
    </row>
    <row r="882" spans="4:8">
      <c r="D882">
        <v>0.072212</v>
      </c>
      <c r="E882">
        <v>0.070263</v>
      </c>
      <c r="G882">
        <v>0.071813</v>
      </c>
      <c r="H882">
        <v>0.068348</v>
      </c>
    </row>
    <row r="883" spans="4:8">
      <c r="D883">
        <v>0.072119</v>
      </c>
      <c r="E883">
        <v>0.070243</v>
      </c>
      <c r="G883">
        <v>0.071805</v>
      </c>
      <c r="H883">
        <v>0.068271</v>
      </c>
    </row>
    <row r="884" spans="4:8">
      <c r="D884">
        <v>0.072231</v>
      </c>
      <c r="E884">
        <v>0.070464</v>
      </c>
      <c r="G884">
        <v>0.071674</v>
      </c>
      <c r="H884">
        <v>0.068258</v>
      </c>
    </row>
    <row r="885" spans="4:8">
      <c r="D885">
        <v>0.07219</v>
      </c>
      <c r="E885">
        <v>0.070218</v>
      </c>
      <c r="G885">
        <v>0.071722</v>
      </c>
      <c r="H885">
        <v>0.068219</v>
      </c>
    </row>
    <row r="886" spans="4:8">
      <c r="D886">
        <v>0.072245</v>
      </c>
      <c r="E886">
        <v>0.07038</v>
      </c>
      <c r="G886">
        <v>0.071774</v>
      </c>
      <c r="H886">
        <v>0.068282</v>
      </c>
    </row>
    <row r="887" spans="4:8">
      <c r="D887">
        <v>0.07217</v>
      </c>
      <c r="E887">
        <v>0.070228</v>
      </c>
      <c r="G887">
        <v>0.071786</v>
      </c>
      <c r="H887">
        <v>0.068284</v>
      </c>
    </row>
    <row r="888" spans="4:8">
      <c r="D888">
        <v>0.072259</v>
      </c>
      <c r="E888">
        <v>0.070305</v>
      </c>
      <c r="G888">
        <v>0.071721</v>
      </c>
      <c r="H888">
        <v>0.068225</v>
      </c>
    </row>
    <row r="889" spans="4:8">
      <c r="D889">
        <v>0.072256</v>
      </c>
      <c r="E889">
        <v>0.070258</v>
      </c>
      <c r="G889">
        <v>0.071712</v>
      </c>
      <c r="H889">
        <v>0.068296</v>
      </c>
    </row>
    <row r="890" spans="4:8">
      <c r="D890">
        <v>0.072206</v>
      </c>
      <c r="E890">
        <v>0.070287</v>
      </c>
      <c r="G890">
        <v>0.071659</v>
      </c>
      <c r="H890">
        <v>0.068319</v>
      </c>
    </row>
    <row r="891" spans="4:8">
      <c r="D891">
        <v>0.072259</v>
      </c>
      <c r="E891">
        <v>0.070261</v>
      </c>
      <c r="G891">
        <v>0.071688</v>
      </c>
      <c r="H891">
        <v>0.068339</v>
      </c>
    </row>
    <row r="892" spans="4:8">
      <c r="D892">
        <v>0.072189</v>
      </c>
      <c r="E892">
        <v>0.070301</v>
      </c>
      <c r="G892">
        <v>0.071825</v>
      </c>
      <c r="H892">
        <v>0.068311</v>
      </c>
    </row>
    <row r="893" spans="4:8">
      <c r="D893">
        <v>0.072203</v>
      </c>
      <c r="E893">
        <v>0.07023</v>
      </c>
      <c r="G893">
        <v>0.07175</v>
      </c>
      <c r="H893">
        <v>0.068283</v>
      </c>
    </row>
    <row r="894" spans="4:8">
      <c r="D894">
        <v>0.072281</v>
      </c>
      <c r="E894">
        <v>0.070252</v>
      </c>
      <c r="G894">
        <v>0.071739</v>
      </c>
      <c r="H894">
        <v>0.068303</v>
      </c>
    </row>
    <row r="895" spans="4:8">
      <c r="D895">
        <v>0.072218</v>
      </c>
      <c r="E895">
        <v>0.070219</v>
      </c>
      <c r="G895">
        <v>0.07179</v>
      </c>
      <c r="H895">
        <v>0.068415</v>
      </c>
    </row>
    <row r="896" spans="4:8">
      <c r="D896">
        <v>0.072172</v>
      </c>
      <c r="E896">
        <v>0.070182</v>
      </c>
      <c r="G896">
        <v>0.071746</v>
      </c>
      <c r="H896">
        <v>0.068299</v>
      </c>
    </row>
    <row r="897" spans="4:8">
      <c r="D897">
        <v>0.072147</v>
      </c>
      <c r="E897">
        <v>0.070284</v>
      </c>
      <c r="G897">
        <v>0.07174</v>
      </c>
      <c r="H897">
        <v>0.068269</v>
      </c>
    </row>
    <row r="898" spans="4:8">
      <c r="D898">
        <v>0.072167</v>
      </c>
      <c r="E898">
        <v>0.070244</v>
      </c>
      <c r="G898">
        <v>0.071691</v>
      </c>
      <c r="H898">
        <v>0.068246</v>
      </c>
    </row>
    <row r="899" spans="4:8">
      <c r="D899">
        <v>0.072257</v>
      </c>
      <c r="E899">
        <v>0.070232</v>
      </c>
      <c r="G899">
        <v>0.071796</v>
      </c>
      <c r="H899">
        <v>0.068277</v>
      </c>
    </row>
    <row r="900" spans="4:8">
      <c r="D900">
        <v>0.072259</v>
      </c>
      <c r="E900">
        <v>0.07028</v>
      </c>
      <c r="G900">
        <v>0.071692</v>
      </c>
      <c r="H900">
        <v>0.068245</v>
      </c>
    </row>
    <row r="901" spans="4:8">
      <c r="D901">
        <v>0.072147</v>
      </c>
      <c r="E901">
        <v>0.070215</v>
      </c>
      <c r="G901">
        <v>0.071789</v>
      </c>
      <c r="H901">
        <v>0.068257</v>
      </c>
    </row>
    <row r="902" spans="4:8">
      <c r="D902">
        <v>0.072219</v>
      </c>
      <c r="E902">
        <v>0.07025</v>
      </c>
      <c r="G902">
        <v>0.071739</v>
      </c>
      <c r="H902">
        <v>0.068253</v>
      </c>
    </row>
    <row r="903" spans="4:8">
      <c r="D903">
        <v>0.07222</v>
      </c>
      <c r="E903">
        <v>0.070192</v>
      </c>
      <c r="G903">
        <v>0.071714</v>
      </c>
      <c r="H903">
        <v>0.068256</v>
      </c>
    </row>
    <row r="904" spans="4:8">
      <c r="D904">
        <v>0.072214</v>
      </c>
      <c r="E904">
        <v>0.070331</v>
      </c>
      <c r="G904">
        <v>0.071765</v>
      </c>
      <c r="H904">
        <v>0.068252</v>
      </c>
    </row>
    <row r="905" spans="4:8">
      <c r="D905">
        <v>0.072236</v>
      </c>
      <c r="E905">
        <v>0.070214</v>
      </c>
      <c r="G905">
        <v>0.071711</v>
      </c>
      <c r="H905">
        <v>0.068259</v>
      </c>
    </row>
    <row r="906" spans="4:8">
      <c r="D906">
        <v>0.072202</v>
      </c>
      <c r="E906">
        <v>0.070267</v>
      </c>
      <c r="G906">
        <v>0.071751</v>
      </c>
      <c r="H906">
        <v>0.068328</v>
      </c>
    </row>
    <row r="907" spans="4:8">
      <c r="D907">
        <v>0.072238</v>
      </c>
      <c r="E907">
        <v>0.07027</v>
      </c>
      <c r="G907">
        <v>0.07172</v>
      </c>
      <c r="H907">
        <v>0.068363</v>
      </c>
    </row>
    <row r="908" spans="4:8">
      <c r="D908">
        <v>0.072244</v>
      </c>
      <c r="E908">
        <v>0.070235</v>
      </c>
    </row>
    <row r="909" spans="4:8">
      <c r="D909">
        <v>0.072289</v>
      </c>
      <c r="E909">
        <v>0.07022</v>
      </c>
    </row>
    <row r="910" spans="4:8">
      <c r="D910">
        <v>0.072273</v>
      </c>
      <c r="E910">
        <v>0.07026</v>
      </c>
    </row>
    <row r="911" spans="4:8">
      <c r="D911">
        <v>0.072265</v>
      </c>
      <c r="E911">
        <v>0.070231</v>
      </c>
    </row>
    <row r="912" spans="4:8">
      <c r="D912">
        <v>0.072232</v>
      </c>
      <c r="E912">
        <v>0.070254</v>
      </c>
    </row>
    <row r="913" spans="4:5">
      <c r="D913">
        <v>0.072188</v>
      </c>
      <c r="E913">
        <v>0.070253</v>
      </c>
    </row>
    <row r="914" spans="4:5">
      <c r="D914">
        <v>0.072292</v>
      </c>
      <c r="E914">
        <v>0.070279</v>
      </c>
    </row>
    <row r="915" spans="4:5">
      <c r="D915">
        <v>0.072192</v>
      </c>
      <c r="E915">
        <v>0.070267</v>
      </c>
    </row>
    <row r="916" spans="4:5">
      <c r="D916">
        <v>0.072221</v>
      </c>
      <c r="E916">
        <v>0.070293</v>
      </c>
    </row>
    <row r="917" spans="4:5">
      <c r="D917">
        <v>0.07226</v>
      </c>
      <c r="E917">
        <v>0.070287</v>
      </c>
    </row>
    <row r="918" spans="4:5">
      <c r="D918">
        <v>0.072251</v>
      </c>
      <c r="E918">
        <v>0.070272</v>
      </c>
    </row>
    <row r="919" spans="4:5">
      <c r="D919">
        <v>0.072228</v>
      </c>
      <c r="E919">
        <v>0.07022</v>
      </c>
    </row>
    <row r="920" spans="4:5">
      <c r="D920">
        <v>0.072229</v>
      </c>
      <c r="E920">
        <v>0.070296</v>
      </c>
    </row>
    <row r="921" spans="4:5">
      <c r="D921">
        <v>0.072208</v>
      </c>
      <c r="E921">
        <v>0.070217</v>
      </c>
    </row>
    <row r="922" spans="4:5">
      <c r="D922">
        <v>0.072232</v>
      </c>
      <c r="E922">
        <v>0.070266</v>
      </c>
    </row>
    <row r="923" spans="4:5">
      <c r="D923">
        <v>0.072237</v>
      </c>
      <c r="E923">
        <v>0.070242</v>
      </c>
    </row>
    <row r="924" spans="4:5">
      <c r="D924">
        <v>0.07224</v>
      </c>
      <c r="E924">
        <v>0.070244</v>
      </c>
    </row>
    <row r="925" spans="4:5">
      <c r="D925">
        <v>0.072237</v>
      </c>
      <c r="E925">
        <v>0.070252</v>
      </c>
    </row>
    <row r="926" spans="4:5">
      <c r="D926">
        <v>0.07225</v>
      </c>
      <c r="E926">
        <v>0.070276</v>
      </c>
    </row>
    <row r="927" spans="4:5">
      <c r="D927">
        <v>0.072248</v>
      </c>
      <c r="E927">
        <v>0.070274</v>
      </c>
    </row>
    <row r="928" spans="4:5">
      <c r="D928">
        <v>0.072211</v>
      </c>
      <c r="E928">
        <v>0.070254</v>
      </c>
    </row>
    <row r="929" spans="4:5">
      <c r="D929">
        <v>0.072247</v>
      </c>
      <c r="E929">
        <v>0.070276</v>
      </c>
    </row>
    <row r="930" spans="4:5">
      <c r="D930">
        <v>0.072219</v>
      </c>
      <c r="E930">
        <v>0.070267</v>
      </c>
    </row>
    <row r="931" spans="4:5">
      <c r="D931">
        <v>0.072232</v>
      </c>
      <c r="E931">
        <v>0.070247</v>
      </c>
    </row>
    <row r="932" spans="4:5">
      <c r="D932">
        <v>0.072246</v>
      </c>
      <c r="E932">
        <v>0.070235</v>
      </c>
    </row>
    <row r="933" spans="4:5">
      <c r="D933">
        <v>0.072249</v>
      </c>
      <c r="E933">
        <v>0.070232</v>
      </c>
    </row>
    <row r="934" spans="4:5">
      <c r="D934">
        <v>0.07223</v>
      </c>
      <c r="E934">
        <v>0.070276</v>
      </c>
    </row>
    <row r="935" spans="4:5">
      <c r="D935">
        <v>0.072224</v>
      </c>
      <c r="E935">
        <v>0.070244</v>
      </c>
    </row>
    <row r="936" spans="4:5">
      <c r="D936">
        <v>0.072227</v>
      </c>
      <c r="E936">
        <v>0.070246</v>
      </c>
    </row>
    <row r="937" spans="4:5">
      <c r="D937">
        <v>0.072234</v>
      </c>
      <c r="E937">
        <v>0.070276</v>
      </c>
    </row>
    <row r="938" spans="4:5">
      <c r="D938">
        <v>0.072254</v>
      </c>
      <c r="E938">
        <v>0.070258</v>
      </c>
    </row>
    <row r="939" spans="4:5">
      <c r="D939">
        <v>0.07225</v>
      </c>
      <c r="E939">
        <v>0.070266</v>
      </c>
    </row>
    <row r="940" spans="4:5">
      <c r="D940">
        <v>0.072224</v>
      </c>
      <c r="E940">
        <v>0.070264</v>
      </c>
    </row>
    <row r="941" spans="4:5">
      <c r="D941">
        <v>0.072217</v>
      </c>
      <c r="E941">
        <v>0.070262</v>
      </c>
    </row>
    <row r="942" spans="4:5">
      <c r="D942">
        <v>0.072253</v>
      </c>
      <c r="E942">
        <v>0.070256</v>
      </c>
    </row>
    <row r="943" spans="4:5">
      <c r="D943">
        <v>0.072236</v>
      </c>
      <c r="E943">
        <v>0.070284</v>
      </c>
    </row>
    <row r="944" spans="4:5">
      <c r="D944">
        <v>0.072231</v>
      </c>
      <c r="E944">
        <v>0.070247</v>
      </c>
    </row>
    <row r="945" spans="4:5">
      <c r="D945">
        <v>0.07225</v>
      </c>
      <c r="E945">
        <v>0.070277</v>
      </c>
    </row>
    <row r="946" spans="4:5">
      <c r="D946">
        <v>0.072236</v>
      </c>
      <c r="E946">
        <v>0.070261</v>
      </c>
    </row>
    <row r="947" spans="4:5">
      <c r="D947">
        <v>0.072247</v>
      </c>
      <c r="E947">
        <v>0.070255</v>
      </c>
    </row>
    <row r="948" spans="4:5">
      <c r="D948">
        <v>0.072231</v>
      </c>
      <c r="E948">
        <v>0.070235</v>
      </c>
    </row>
    <row r="949" spans="4:5">
      <c r="D949">
        <v>0.072232</v>
      </c>
      <c r="E949">
        <v>0.070264</v>
      </c>
    </row>
    <row r="950" spans="4:5">
      <c r="D950">
        <v>0.072217</v>
      </c>
      <c r="E950">
        <v>0.070258</v>
      </c>
    </row>
    <row r="951" spans="4:5">
      <c r="D951">
        <v>0.072245</v>
      </c>
      <c r="E951">
        <v>0.070272</v>
      </c>
    </row>
    <row r="952" spans="4:5">
      <c r="D952">
        <v>0.072262</v>
      </c>
      <c r="E952">
        <v>0.070268</v>
      </c>
    </row>
    <row r="953" spans="4:5">
      <c r="D953">
        <v>0.072244</v>
      </c>
      <c r="E953">
        <v>0.070254</v>
      </c>
    </row>
    <row r="954" spans="4:5">
      <c r="D954">
        <v>0.072231</v>
      </c>
      <c r="E954">
        <v>0.070263</v>
      </c>
    </row>
    <row r="955" spans="4:5">
      <c r="D955">
        <v>0.072253</v>
      </c>
      <c r="E955">
        <v>0.070256</v>
      </c>
    </row>
    <row r="956" spans="4:5">
      <c r="D956">
        <v>0.072242</v>
      </c>
      <c r="E956">
        <v>0.070246</v>
      </c>
    </row>
    <row r="957" spans="4:5">
      <c r="D957">
        <v>0.072247</v>
      </c>
      <c r="E957">
        <v>0.070257</v>
      </c>
    </row>
    <row r="958" spans="4:5">
      <c r="D958">
        <v>0.072238</v>
      </c>
      <c r="E958">
        <v>0.07026</v>
      </c>
    </row>
    <row r="959" spans="4:5">
      <c r="D959">
        <v>0.072243</v>
      </c>
      <c r="E959">
        <v>0.07026</v>
      </c>
    </row>
    <row r="960" spans="4:5">
      <c r="D960">
        <v>0.072231</v>
      </c>
      <c r="E960">
        <v>0.070274</v>
      </c>
    </row>
    <row r="961" spans="4:5">
      <c r="D961">
        <v>0.07225</v>
      </c>
      <c r="E961">
        <v>0.070256</v>
      </c>
    </row>
    <row r="962" spans="4:5">
      <c r="D962">
        <v>0.072248</v>
      </c>
      <c r="E962">
        <v>0.070271</v>
      </c>
    </row>
    <row r="963" spans="4:5">
      <c r="D963">
        <v>0.072254</v>
      </c>
      <c r="E963">
        <v>0.070276</v>
      </c>
    </row>
    <row r="964" spans="4:5">
      <c r="D964">
        <v>0.07223</v>
      </c>
      <c r="E964">
        <v>0.070261</v>
      </c>
    </row>
    <row r="965" spans="4:5">
      <c r="D965">
        <v>0.07224</v>
      </c>
      <c r="E965">
        <v>0.070257</v>
      </c>
    </row>
    <row r="966" spans="4:5">
      <c r="D966">
        <v>0.072251</v>
      </c>
      <c r="E966">
        <v>0.07026</v>
      </c>
    </row>
    <row r="967" spans="4:5">
      <c r="D967">
        <v>0.072243</v>
      </c>
      <c r="E967">
        <v>0.07027</v>
      </c>
    </row>
    <row r="968" spans="4:5">
      <c r="D968">
        <v>0.072248</v>
      </c>
      <c r="E968">
        <v>0.070253</v>
      </c>
    </row>
    <row r="969" spans="4:5">
      <c r="D969">
        <v>0.072238</v>
      </c>
      <c r="E969">
        <v>0.070262</v>
      </c>
    </row>
    <row r="970" spans="4:5">
      <c r="D970">
        <v>0.072251</v>
      </c>
      <c r="E970">
        <v>0.070257</v>
      </c>
    </row>
    <row r="971" spans="4:5">
      <c r="D971">
        <v>0.072241</v>
      </c>
      <c r="E971">
        <v>0.070263</v>
      </c>
    </row>
    <row r="972" spans="4:5">
      <c r="D972">
        <v>0.07224</v>
      </c>
      <c r="E972">
        <v>0.070259</v>
      </c>
    </row>
    <row r="973" spans="4:5">
      <c r="D973">
        <v>0.07224</v>
      </c>
      <c r="E973">
        <v>0.070259</v>
      </c>
    </row>
    <row r="974" spans="4:5">
      <c r="D974">
        <v>0.07225</v>
      </c>
      <c r="E974">
        <v>0.070259</v>
      </c>
    </row>
    <row r="975" spans="4:5">
      <c r="D975">
        <v>0.072245</v>
      </c>
      <c r="E975">
        <v>0.070258</v>
      </c>
    </row>
    <row r="976" spans="4:5">
      <c r="D976">
        <v>0.072254</v>
      </c>
      <c r="E976">
        <v>0.070268</v>
      </c>
    </row>
    <row r="977" spans="4:5">
      <c r="D977">
        <v>0.072243</v>
      </c>
      <c r="E977">
        <v>0.070262</v>
      </c>
    </row>
    <row r="978" spans="4:5">
      <c r="D978">
        <v>0.072242</v>
      </c>
      <c r="E978">
        <v>0.070266</v>
      </c>
    </row>
    <row r="979" spans="4:5">
      <c r="D979">
        <v>0.072245</v>
      </c>
      <c r="E979">
        <v>0.070261</v>
      </c>
    </row>
    <row r="980" spans="4:5">
      <c r="D980">
        <v>0.072247</v>
      </c>
      <c r="E980">
        <v>0.07026</v>
      </c>
    </row>
    <row r="981" spans="4:5">
      <c r="D981">
        <v>0.072254</v>
      </c>
      <c r="E981">
        <v>0.070259</v>
      </c>
    </row>
    <row r="982" spans="4:5">
      <c r="D982">
        <v>0.072246</v>
      </c>
      <c r="E982">
        <v>0.070256</v>
      </c>
    </row>
    <row r="983" spans="4:5">
      <c r="D983">
        <v>0.072245</v>
      </c>
      <c r="E983">
        <v>0.070257</v>
      </c>
    </row>
    <row r="984" spans="4:5">
      <c r="D984">
        <v>0.07225</v>
      </c>
      <c r="E984">
        <v>0.070262</v>
      </c>
    </row>
    <row r="985" spans="4:5">
      <c r="D985">
        <v>0.072246</v>
      </c>
      <c r="E985">
        <v>0.070258</v>
      </c>
    </row>
    <row r="986" spans="4:5">
      <c r="D986">
        <v>0.07225</v>
      </c>
      <c r="E986">
        <v>0.070259</v>
      </c>
    </row>
    <row r="987" spans="4:5">
      <c r="D987">
        <v>0.072247</v>
      </c>
      <c r="E987">
        <v>0.070261</v>
      </c>
    </row>
    <row r="988" spans="4:5">
      <c r="D988">
        <v>0.072249</v>
      </c>
      <c r="E988">
        <v>0.070257</v>
      </c>
    </row>
    <row r="989" spans="4:5">
      <c r="D989">
        <v>0.072248</v>
      </c>
      <c r="E989">
        <v>0.070257</v>
      </c>
    </row>
    <row r="990" spans="4:5">
      <c r="D990">
        <v>0.072246</v>
      </c>
      <c r="E990">
        <v>0.070258</v>
      </c>
    </row>
    <row r="991" spans="4:5">
      <c r="D991">
        <v>0.072247</v>
      </c>
      <c r="E991">
        <v>0.070256</v>
      </c>
    </row>
    <row r="992" spans="4:5">
      <c r="D992">
        <v>0.072249</v>
      </c>
      <c r="E992">
        <v>0.070258</v>
      </c>
    </row>
    <row r="993" spans="4:5">
      <c r="D993">
        <v>0.072248</v>
      </c>
      <c r="E993">
        <v>0.070258</v>
      </c>
    </row>
    <row r="994" spans="4:5">
      <c r="D994">
        <v>0.072248</v>
      </c>
      <c r="E994">
        <v>0.070259</v>
      </c>
    </row>
    <row r="995" spans="4:5">
      <c r="D995">
        <v>0.072248</v>
      </c>
      <c r="E995">
        <v>0.07026</v>
      </c>
    </row>
    <row r="996" spans="4:5">
      <c r="D996">
        <v>0.072248</v>
      </c>
      <c r="E996">
        <v>0.07026</v>
      </c>
    </row>
    <row r="997" spans="4:5">
      <c r="D997">
        <v>0.072249</v>
      </c>
      <c r="E997">
        <v>0.070259</v>
      </c>
    </row>
    <row r="998" spans="4:5">
      <c r="D998">
        <v>0.072248</v>
      </c>
      <c r="E998">
        <v>0.070259</v>
      </c>
    </row>
    <row r="999" spans="4:5">
      <c r="D999">
        <v>0.072248</v>
      </c>
      <c r="E999">
        <v>0.070259</v>
      </c>
    </row>
    <row r="1000" spans="4:5">
      <c r="D1000">
        <v>0.072249</v>
      </c>
      <c r="E1000">
        <v>0.070259</v>
      </c>
    </row>
    <row r="1001" spans="4:5">
      <c r="D1001">
        <v>0.072249</v>
      </c>
      <c r="E1001">
        <v>0.070259</v>
      </c>
    </row>
    <row r="1002" spans="4:5">
      <c r="D1002">
        <v>0.072249</v>
      </c>
      <c r="E1002">
        <v>0.070259</v>
      </c>
    </row>
    <row r="1003" spans="4:5">
      <c r="D1003">
        <v>0.072249</v>
      </c>
      <c r="E1003">
        <v>0.070259</v>
      </c>
    </row>
  </sheetData>
  <mergeCells count="3">
    <mergeCell ref="D1:H1"/>
    <mergeCell ref="D2:E2"/>
    <mergeCell ref="G2:H2"/>
  </mergeCells>
  <pageMargins left="0.7" right="0.7" top="0.75" bottom="0.75" header="0.3" footer="0.3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31"/>
  <sheetViews>
    <sheetView workbookViewId="0">
      <selection activeCell="H10" sqref="H10"/>
    </sheetView>
  </sheetViews>
  <sheetFormatPr defaultColWidth="9" defaultRowHeight="14"/>
  <cols>
    <col min="2" max="3" width="12.8181818181818"/>
    <col min="4" max="5" width="10.5454545454545"/>
    <col min="6" max="8" width="12.8181818181818"/>
    <col min="15" max="15" width="9.5" customWidth="1"/>
    <col min="17" max="17" width="10.5" customWidth="1"/>
  </cols>
  <sheetData>
    <row r="2" spans="2:11">
      <c r="B2" s="1" t="s">
        <v>90</v>
      </c>
      <c r="C2" s="1"/>
      <c r="D2" s="1"/>
      <c r="E2" s="1"/>
      <c r="F2" s="1"/>
      <c r="G2" s="1"/>
      <c r="H2" s="1"/>
      <c r="I2" s="1"/>
      <c r="J2" s="1"/>
      <c r="K2" s="1"/>
    </row>
    <row r="3" spans="2:11">
      <c r="D3" s="2" t="s">
        <v>91</v>
      </c>
      <c r="E3" s="2" t="s">
        <v>92</v>
      </c>
      <c r="F3" t="s">
        <v>93</v>
      </c>
    </row>
    <row r="4" spans="2:11">
      <c r="C4" s="2" t="s">
        <v>37</v>
      </c>
      <c r="D4">
        <v>0.2502985</v>
      </c>
      <c r="E4">
        <v>0.1554687</v>
      </c>
      <c r="G4">
        <f>-1*(E4/D4-1)</f>
        <v>0.378866833001396</v>
      </c>
    </row>
    <row r="5" spans="2:11">
      <c r="C5" s="2" t="s">
        <v>57</v>
      </c>
      <c r="D5">
        <v>0.0782267</v>
      </c>
      <c r="E5">
        <v>0.0584079</v>
      </c>
      <c r="F5">
        <v>0.055551</v>
      </c>
      <c r="G5">
        <f>-1*(E5/D5-1)</f>
        <v>0.253350838013108</v>
      </c>
      <c r="H5">
        <f>-1*(F5/D5-1)</f>
        <v>0.289871616724213</v>
      </c>
    </row>
    <row r="6" spans="2:11">
      <c r="C6" s="2" t="s">
        <v>79</v>
      </c>
      <c r="D6">
        <v>0.0189774</v>
      </c>
      <c r="E6">
        <v>0.0163625</v>
      </c>
      <c r="G6">
        <f t="shared" ref="G5:G6" si="0">-1*(E6/D6-1)</f>
        <v>0.137790213622519</v>
      </c>
    </row>
    <row r="7" spans="2:11">
      <c r="C7" s="2"/>
    </row>
    <row r="27" spans="1:3">
      <c r="A27" s="1" t="s">
        <v>94</v>
      </c>
      <c r="B27" s="3"/>
      <c r="C27" s="3"/>
    </row>
    <row r="28" spans="1:3">
      <c r="B28" s="2" t="s">
        <v>91</v>
      </c>
      <c r="C28" s="2" t="s">
        <v>92</v>
      </c>
    </row>
    <row r="29" spans="1:3">
      <c r="A29" s="4" t="s">
        <v>37</v>
      </c>
      <c r="B29">
        <v>13.9795966666667</v>
      </c>
      <c r="C29">
        <v>13.7549721666667</v>
      </c>
    </row>
    <row r="30" spans="1:3">
      <c r="A30" s="4" t="s">
        <v>43</v>
      </c>
      <c r="B30">
        <v>12.3824786666667</v>
      </c>
      <c r="C30">
        <v>11.8560869166667</v>
      </c>
    </row>
    <row r="31" spans="1:3">
      <c r="A31" s="4" t="s">
        <v>50</v>
      </c>
      <c r="B31">
        <v>14.35633125</v>
      </c>
      <c r="C31">
        <v>13.2550406666667</v>
      </c>
    </row>
  </sheetData>
  <mergeCells count="1">
    <mergeCell ref="A27:C27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GridSpacing</vt:lpstr>
      <vt:lpstr>QM9结果</vt:lpstr>
      <vt:lpstr>rMD17</vt:lpstr>
      <vt:lpstr>MD17</vt:lpstr>
      <vt:lpstr>记录</vt:lpstr>
      <vt:lpstr>Introduction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 Zeng</cp:lastModifiedBy>
  <dcterms:created xsi:type="dcterms:W3CDTF">2023-05-12T11:15:00Z</dcterms:created>
  <dcterms:modified xsi:type="dcterms:W3CDTF">2026-03-29T12:22:17Z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F86A872AFAD4413EA169F6C1C8E3FFE8_13</vt:lpwstr>
  </property>
  <property fmtid="{D5CDD505-2E9C-101B-9397-08002B2CF9AE}" pid="4" name="CalculationRule">
    <vt:i4>0</vt:i4>
  </property>
</Properties>
</file>