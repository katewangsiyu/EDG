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1" autoFilterDateGrouping="1"/>
  </bookViews>
  <sheets>
    <sheet xmlns:r="http://schemas.openxmlformats.org/officeDocument/2006/relationships" name="GridSpacing" sheetId="1" state="visible" r:id="rId1"/>
    <sheet xmlns:r="http://schemas.openxmlformats.org/officeDocument/2006/relationships" name="QM9结果" sheetId="2" state="visible" r:id="rId2"/>
    <sheet xmlns:r="http://schemas.openxmlformats.org/officeDocument/2006/relationships" name="rMD17" sheetId="3" state="visible" r:id="rId3"/>
    <sheet xmlns:r="http://schemas.openxmlformats.org/officeDocument/2006/relationships" name="MD17" sheetId="4" state="visible" r:id="rId4"/>
    <sheet xmlns:r="http://schemas.openxmlformats.org/officeDocument/2006/relationships" name="记录" sheetId="5" state="visible" r:id="rId5"/>
    <sheet xmlns:r="http://schemas.openxmlformats.org/officeDocument/2006/relationships" name="Introduction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0_);[Red]\(0.00000\)"/>
    <numFmt numFmtId="165" formatCode="&quot;↑&quot;0.0%"/>
    <numFmt numFmtId="166" formatCode="0.000_);[Red]\(0.000\)"/>
  </numFmts>
  <fonts count="35">
    <font>
      <name val="宋体"/>
      <charset val="134"/>
      <color theme="1"/>
      <sz val="11"/>
      <scheme val="minor"/>
    </font>
    <font>
      <name val="Arial"/>
      <charset val="134"/>
      <color theme="1"/>
      <sz val="11"/>
    </font>
    <font>
      <name val="宋体"/>
      <charset val="134"/>
      <color theme="1"/>
      <sz val="11"/>
    </font>
    <font>
      <name val="Arial"/>
      <charset val="134"/>
      <sz val="11"/>
    </font>
    <font>
      <name val="Arial"/>
      <charset val="134"/>
      <color theme="9" tint="-0.249977111117893"/>
      <sz val="11"/>
    </font>
    <font>
      <name val="宋体"/>
      <charset val="134"/>
      <color theme="9" tint="-0.249977111117893"/>
      <sz val="11"/>
      <scheme val="minor"/>
    </font>
    <font>
      <name val="宋体"/>
      <charset val="134"/>
      <color rgb="FFC00000"/>
      <sz val="11"/>
      <scheme val="minor"/>
    </font>
    <font>
      <name val="宋体"/>
      <charset val="134"/>
      <color rgb="FF0070C0"/>
      <sz val="11"/>
      <scheme val="minor"/>
    </font>
    <font>
      <name val="Arial"/>
      <charset val="134"/>
      <b val="1"/>
      <color theme="1"/>
      <sz val="11"/>
    </font>
    <font>
      <name val="宋体"/>
      <charset val="134"/>
      <b val="1"/>
      <color theme="1"/>
      <sz val="11"/>
      <scheme val="minor"/>
    </font>
    <font>
      <name val="Calibri"/>
      <charset val="161"/>
      <color theme="1"/>
      <sz val="11"/>
    </font>
    <font>
      <name val="Calibri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harset val="1"/>
      <color theme="1"/>
      <sz val="11"/>
    </font>
    <font>
      <name val="Cambria Math"/>
      <charset val="134"/>
      <color theme="1"/>
      <sz val="11"/>
    </font>
    <font>
      <name val="宋体"/>
      <charset val="134"/>
      <b val="1"/>
      <sz val="9"/>
    </font>
    <font>
      <name val="宋体"/>
      <charset val="134"/>
      <sz val="9"/>
    </font>
  </fonts>
  <fills count="34">
    <fill>
      <patternFill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0" fillId="8" borderId="9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0" applyAlignment="1">
      <alignment vertical="center"/>
    </xf>
    <xf numFmtId="0" fontId="18" fillId="0" borderId="10" applyAlignment="1">
      <alignment vertical="center"/>
    </xf>
    <xf numFmtId="0" fontId="19" fillId="0" borderId="11" applyAlignment="1">
      <alignment vertical="center"/>
    </xf>
    <xf numFmtId="0" fontId="19" fillId="0" borderId="0" applyAlignment="1">
      <alignment vertical="center"/>
    </xf>
    <xf numFmtId="0" fontId="20" fillId="9" borderId="12" applyAlignment="1">
      <alignment vertical="center"/>
    </xf>
    <xf numFmtId="0" fontId="21" fillId="10" borderId="13" applyAlignment="1">
      <alignment vertical="center"/>
    </xf>
    <xf numFmtId="0" fontId="22" fillId="10" borderId="12" applyAlignment="1">
      <alignment vertical="center"/>
    </xf>
    <xf numFmtId="0" fontId="23" fillId="11" borderId="14" applyAlignment="1">
      <alignment vertical="center"/>
    </xf>
    <xf numFmtId="0" fontId="24" fillId="0" borderId="15" applyAlignment="1">
      <alignment vertical="center"/>
    </xf>
    <xf numFmtId="0" fontId="25" fillId="0" borderId="16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30" fillId="2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4" borderId="0" applyAlignment="1">
      <alignment vertical="center"/>
    </xf>
    <xf numFmtId="0" fontId="30" fillId="19" borderId="0" applyAlignment="1">
      <alignment vertical="center"/>
    </xf>
    <xf numFmtId="0" fontId="29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29" fillId="24" borderId="0" applyAlignment="1">
      <alignment vertical="center"/>
    </xf>
    <xf numFmtId="0" fontId="29" fillId="25" borderId="0" applyAlignment="1">
      <alignment vertical="center"/>
    </xf>
    <xf numFmtId="0" fontId="30" fillId="5" borderId="0" applyAlignment="1">
      <alignment vertical="center"/>
    </xf>
    <xf numFmtId="0" fontId="30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30" fillId="3" borderId="0" applyAlignment="1">
      <alignment vertical="center"/>
    </xf>
    <xf numFmtId="0" fontId="30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30" fillId="7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</cellStyleXfs>
  <cellXfs count="8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164" fontId="1" fillId="3" borderId="1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 vertical="center"/>
    </xf>
    <xf numFmtId="166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3" fontId="1" fillId="0" borderId="8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3" fontId="1" fillId="0" borderId="4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164" fontId="0" fillId="2" borderId="1" applyAlignment="1" pivotButton="0" quotePrefix="0" xfId="0">
      <alignment horizontal="center" vertical="center"/>
    </xf>
    <xf numFmtId="166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4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164" fontId="1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0" fillId="0" borderId="4" pivotButton="0" quotePrefix="0" xfId="0"/>
    <xf numFmtId="164" fontId="4" fillId="4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lineChart>
        <grouping val="standard"/>
        <varyColors val="0"/>
        <ser>
          <idx val="0"/>
          <order val="0"/>
          <tx>
            <strRef>
              <f>记录!$D$3</f>
              <strCache>
                <ptCount val="1"/>
                <pt idx="0">
                  <v>Valid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val>
            <numRef>
              <f>记录!$D$4:$D$907</f>
              <numCache>
                <formatCode>General</formatCode>
                <ptCount val="904"/>
                <pt idx="0">
                  <v>1.164167</v>
                </pt>
                <pt idx="1">
                  <v>0.617016</v>
                </pt>
                <pt idx="2">
                  <v>0.54642</v>
                </pt>
                <pt idx="3">
                  <v>0.437559</v>
                </pt>
                <pt idx="4">
                  <v>0.418151</v>
                </pt>
                <pt idx="5">
                  <v>0.377666</v>
                </pt>
                <pt idx="6">
                  <v>0.384168</v>
                </pt>
                <pt idx="7">
                  <v>0.396397</v>
                </pt>
                <pt idx="8">
                  <v>0.296302</v>
                </pt>
                <pt idx="9">
                  <v>0.465855</v>
                </pt>
                <pt idx="10">
                  <v>0.350556</v>
                </pt>
                <pt idx="11">
                  <v>0.313124</v>
                </pt>
                <pt idx="12">
                  <v>0.263699</v>
                </pt>
                <pt idx="13">
                  <v>0.271977</v>
                </pt>
                <pt idx="14">
                  <v>0.380497</v>
                </pt>
                <pt idx="15">
                  <v>0.729638</v>
                </pt>
                <pt idx="16">
                  <v>0.295511</v>
                </pt>
                <pt idx="17">
                  <v>0.250051</v>
                </pt>
                <pt idx="18">
                  <v>0.311088</v>
                </pt>
                <pt idx="19">
                  <v>0.222271</v>
                </pt>
                <pt idx="20">
                  <v>0.211607</v>
                </pt>
                <pt idx="21">
                  <v>0.321308</v>
                </pt>
                <pt idx="22">
                  <v>0.227931</v>
                </pt>
                <pt idx="23">
                  <v>0.239317</v>
                </pt>
                <pt idx="24">
                  <v>0.195118</v>
                </pt>
                <pt idx="25">
                  <v>0.212304</v>
                </pt>
                <pt idx="26">
                  <v>0.251378</v>
                </pt>
                <pt idx="27">
                  <v>0.4569</v>
                </pt>
                <pt idx="28">
                  <v>0.217098</v>
                </pt>
                <pt idx="29">
                  <v>0.198583</v>
                </pt>
                <pt idx="30">
                  <v>0.182451</v>
                </pt>
                <pt idx="31">
                  <v>0.184092</v>
                </pt>
                <pt idx="32">
                  <v>0.227421</v>
                </pt>
                <pt idx="33">
                  <v>0.222999</v>
                </pt>
                <pt idx="34">
                  <v>0.230677</v>
                </pt>
                <pt idx="35">
                  <v>0.251651</v>
                </pt>
                <pt idx="36">
                  <v>0.159387</v>
                </pt>
                <pt idx="37">
                  <v>0.196967</v>
                </pt>
                <pt idx="38">
                  <v>0.163486</v>
                </pt>
                <pt idx="39">
                  <v>0.194864</v>
                </pt>
                <pt idx="40">
                  <v>0.258423</v>
                </pt>
                <pt idx="41">
                  <v>0.200703</v>
                </pt>
                <pt idx="42">
                  <v>0.185734</v>
                </pt>
                <pt idx="43">
                  <v>0.181933</v>
                </pt>
                <pt idx="44">
                  <v>0.447315</v>
                </pt>
                <pt idx="45">
                  <v>0.171749</v>
                </pt>
                <pt idx="46">
                  <v>0.167407</v>
                </pt>
                <pt idx="47">
                  <v>0.219747</v>
                </pt>
                <pt idx="48">
                  <v>0.22632</v>
                </pt>
                <pt idx="49">
                  <v>0.160409</v>
                </pt>
                <pt idx="50">
                  <v>0.181256</v>
                </pt>
                <pt idx="51">
                  <v>0.155422</v>
                </pt>
                <pt idx="52">
                  <v>0.212671</v>
                </pt>
                <pt idx="53">
                  <v>0.185735</v>
                </pt>
                <pt idx="54">
                  <v>0.164327</v>
                </pt>
                <pt idx="55">
                  <v>0.183693</v>
                </pt>
                <pt idx="56">
                  <v>0.180496</v>
                </pt>
                <pt idx="57">
                  <v>0.197709</v>
                </pt>
                <pt idx="58">
                  <v>0.150671</v>
                </pt>
                <pt idx="59">
                  <v>0.169139</v>
                </pt>
                <pt idx="60">
                  <v>0.163217</v>
                </pt>
                <pt idx="61">
                  <v>0.142129</v>
                </pt>
                <pt idx="62">
                  <v>0.165294</v>
                </pt>
                <pt idx="63">
                  <v>0.217607</v>
                </pt>
                <pt idx="64">
                  <v>0.14643</v>
                </pt>
                <pt idx="65">
                  <v>0.139586</v>
                </pt>
                <pt idx="66">
                  <v>0.170211</v>
                </pt>
                <pt idx="67">
                  <v>0.358327</v>
                </pt>
                <pt idx="68">
                  <v>0.175492</v>
                </pt>
                <pt idx="69">
                  <v>0.155011</v>
                </pt>
                <pt idx="70">
                  <v>0.148496</v>
                </pt>
                <pt idx="71">
                  <v>0.157823</v>
                </pt>
                <pt idx="72">
                  <v>0.138694</v>
                </pt>
                <pt idx="73">
                  <v>0.155786</v>
                </pt>
                <pt idx="74">
                  <v>0.136106</v>
                </pt>
                <pt idx="75">
                  <v>0.149575</v>
                </pt>
                <pt idx="76">
                  <v>0.162307</v>
                </pt>
                <pt idx="77">
                  <v>0.135434</v>
                </pt>
                <pt idx="78">
                  <v>0.175532</v>
                </pt>
                <pt idx="79">
                  <v>0.131485</v>
                </pt>
                <pt idx="80">
                  <v>0.159187</v>
                </pt>
                <pt idx="81">
                  <v>0.145993</v>
                </pt>
                <pt idx="82">
                  <v>0.145139</v>
                </pt>
                <pt idx="83">
                  <v>0.13747</v>
                </pt>
                <pt idx="84">
                  <v>0.150298</v>
                </pt>
                <pt idx="85">
                  <v>0.139783</v>
                </pt>
                <pt idx="86">
                  <v>0.151299</v>
                </pt>
                <pt idx="87">
                  <v>0.136979</v>
                </pt>
                <pt idx="88">
                  <v>0.185273</v>
                </pt>
                <pt idx="89">
                  <v>0.194733</v>
                </pt>
                <pt idx="90">
                  <v>0.172642</v>
                </pt>
                <pt idx="91">
                  <v>0.139819</v>
                </pt>
                <pt idx="92">
                  <v>0.156369</v>
                </pt>
                <pt idx="93">
                  <v>0.139503</v>
                </pt>
                <pt idx="94">
                  <v>0.139186</v>
                </pt>
                <pt idx="95">
                  <v>0.141003</v>
                </pt>
                <pt idx="96">
                  <v>0.143577</v>
                </pt>
                <pt idx="97">
                  <v>0.146459</v>
                </pt>
                <pt idx="98">
                  <v>0.132982</v>
                </pt>
                <pt idx="99">
                  <v>0.147369</v>
                </pt>
                <pt idx="100">
                  <v>0.206571</v>
                </pt>
                <pt idx="101">
                  <v>0.136816</v>
                </pt>
                <pt idx="102">
                  <v>0.292304</v>
                </pt>
                <pt idx="103">
                  <v>0.131715</v>
                </pt>
                <pt idx="104">
                  <v>0.132095</v>
                </pt>
                <pt idx="105">
                  <v>0.125836</v>
                </pt>
                <pt idx="106">
                  <v>0.137335</v>
                </pt>
                <pt idx="107">
                  <v>0.132798</v>
                </pt>
                <pt idx="108">
                  <v>0.142693</v>
                </pt>
                <pt idx="109">
                  <v>0.131979</v>
                </pt>
                <pt idx="110">
                  <v>0.160423</v>
                </pt>
                <pt idx="111">
                  <v>0.149545</v>
                </pt>
                <pt idx="112">
                  <v>0.130744</v>
                </pt>
                <pt idx="113">
                  <v>0.123265</v>
                </pt>
                <pt idx="114">
                  <v>0.123234</v>
                </pt>
                <pt idx="115">
                  <v>0.125549</v>
                </pt>
                <pt idx="116">
                  <v>0.137008</v>
                </pt>
                <pt idx="117">
                  <v>0.14083</v>
                </pt>
                <pt idx="118">
                  <v>0.132691</v>
                </pt>
                <pt idx="119">
                  <v>0.135189</v>
                </pt>
                <pt idx="120">
                  <v>0.136391</v>
                </pt>
                <pt idx="121">
                  <v>0.15289</v>
                </pt>
                <pt idx="122">
                  <v>0.124377</v>
                </pt>
                <pt idx="123">
                  <v>0.118118</v>
                </pt>
                <pt idx="124">
                  <v>0.158468</v>
                </pt>
                <pt idx="125">
                  <v>0.125917</v>
                </pt>
                <pt idx="126">
                  <v>0.12588</v>
                </pt>
                <pt idx="127">
                  <v>0.132073</v>
                </pt>
                <pt idx="128">
                  <v>0.112154</v>
                </pt>
                <pt idx="129">
                  <v>0.142864</v>
                </pt>
                <pt idx="130">
                  <v>0.125886</v>
                </pt>
                <pt idx="131">
                  <v>0.125513</v>
                </pt>
                <pt idx="132">
                  <v>0.143203</v>
                </pt>
                <pt idx="133">
                  <v>0.160251</v>
                </pt>
                <pt idx="134">
                  <v>0.130462</v>
                </pt>
                <pt idx="135">
                  <v>0.136156</v>
                </pt>
                <pt idx="136">
                  <v>0.226164</v>
                </pt>
                <pt idx="137">
                  <v>0.1211</v>
                </pt>
                <pt idx="138">
                  <v>0.130323</v>
                </pt>
                <pt idx="139">
                  <v>0.125669</v>
                </pt>
                <pt idx="140">
                  <v>0.144325</v>
                </pt>
                <pt idx="141">
                  <v>0.11772</v>
                </pt>
                <pt idx="142">
                  <v>0.118665</v>
                </pt>
                <pt idx="143">
                  <v>0.123618</v>
                </pt>
                <pt idx="144">
                  <v>0.124518</v>
                </pt>
                <pt idx="145">
                  <v>0.161996</v>
                </pt>
                <pt idx="146">
                  <v>0.115611</v>
                </pt>
                <pt idx="147">
                  <v>0.130062</v>
                </pt>
                <pt idx="148">
                  <v>0.14039</v>
                </pt>
                <pt idx="149">
                  <v>0.141495</v>
                </pt>
                <pt idx="150">
                  <v>0.12965</v>
                </pt>
                <pt idx="151">
                  <v>0.129566</v>
                </pt>
                <pt idx="152">
                  <v>0.138218</v>
                </pt>
                <pt idx="153">
                  <v>0.121821</v>
                </pt>
                <pt idx="154">
                  <v>0.115587</v>
                </pt>
                <pt idx="155">
                  <v>0.140089</v>
                </pt>
                <pt idx="156">
                  <v>0.118068</v>
                </pt>
                <pt idx="157">
                  <v>0.116884</v>
                </pt>
                <pt idx="158">
                  <v>0.122045</v>
                </pt>
                <pt idx="159">
                  <v>0.11168</v>
                </pt>
                <pt idx="160">
                  <v>0.116263</v>
                </pt>
                <pt idx="161">
                  <v>0.118332</v>
                </pt>
                <pt idx="162">
                  <v>0.114796</v>
                </pt>
                <pt idx="163">
                  <v>0.138211</v>
                </pt>
                <pt idx="164">
                  <v>0.108067</v>
                </pt>
                <pt idx="165">
                  <v>0.120681</v>
                </pt>
                <pt idx="166">
                  <v>0.134641</v>
                </pt>
                <pt idx="167">
                  <v>0.112078</v>
                </pt>
                <pt idx="168">
                  <v>0.111388</v>
                </pt>
                <pt idx="169">
                  <v>0.116194</v>
                </pt>
                <pt idx="170">
                  <v>0.110735</v>
                </pt>
                <pt idx="171">
                  <v>0.130956</v>
                </pt>
                <pt idx="172">
                  <v>0.124978</v>
                </pt>
                <pt idx="173">
                  <v>0.131981</v>
                </pt>
                <pt idx="174">
                  <v>0.112032</v>
                </pt>
                <pt idx="175">
                  <v>0.122377</v>
                </pt>
                <pt idx="176">
                  <v>0.117704</v>
                </pt>
                <pt idx="177">
                  <v>0.113691</v>
                </pt>
                <pt idx="178">
                  <v>0.106402</v>
                </pt>
                <pt idx="179">
                  <v>0.110131</v>
                </pt>
                <pt idx="180">
                  <v>0.105639</v>
                </pt>
                <pt idx="181">
                  <v>0.166085</v>
                </pt>
                <pt idx="182">
                  <v>0.117537</v>
                </pt>
                <pt idx="183">
                  <v>0.12001</v>
                </pt>
                <pt idx="184">
                  <v>0.111209</v>
                </pt>
                <pt idx="185">
                  <v>0.132989</v>
                </pt>
                <pt idx="186">
                  <v>0.107273</v>
                </pt>
                <pt idx="187">
                  <v>0.145186</v>
                </pt>
                <pt idx="188">
                  <v>0.108823</v>
                </pt>
                <pt idx="189">
                  <v>0.109872</v>
                </pt>
                <pt idx="190">
                  <v>0.1201</v>
                </pt>
                <pt idx="191">
                  <v>0.114323</v>
                </pt>
                <pt idx="192">
                  <v>0.109273</v>
                </pt>
                <pt idx="193">
                  <v>0.142696</v>
                </pt>
                <pt idx="194">
                  <v>0.105513</v>
                </pt>
                <pt idx="195">
                  <v>0.13976</v>
                </pt>
                <pt idx="196">
                  <v>0.129144</v>
                </pt>
                <pt idx="197">
                  <v>0.105962</v>
                </pt>
                <pt idx="198">
                  <v>0.111574</v>
                </pt>
                <pt idx="199">
                  <v>0.110264</v>
                </pt>
                <pt idx="200">
                  <v>0.124234</v>
                </pt>
                <pt idx="201">
                  <v>0.126646</v>
                </pt>
                <pt idx="202">
                  <v>0.128367</v>
                </pt>
                <pt idx="203">
                  <v>0.108323</v>
                </pt>
                <pt idx="204">
                  <v>0.106156</v>
                </pt>
                <pt idx="205">
                  <v>0.132978</v>
                </pt>
                <pt idx="206">
                  <v>0.101308</v>
                </pt>
                <pt idx="207">
                  <v>0.109202</v>
                </pt>
                <pt idx="208">
                  <v>0.110852</v>
                </pt>
                <pt idx="209">
                  <v>0.114156</v>
                </pt>
                <pt idx="210">
                  <v>0.11984</v>
                </pt>
                <pt idx="211">
                  <v>0.114965</v>
                </pt>
                <pt idx="212">
                  <v>0.110316</v>
                </pt>
                <pt idx="213">
                  <v>0.115534</v>
                </pt>
                <pt idx="214">
                  <v>0.106686</v>
                </pt>
                <pt idx="215">
                  <v>0.13517</v>
                </pt>
                <pt idx="216">
                  <v>0.110107</v>
                </pt>
                <pt idx="217">
                  <v>0.115782</v>
                </pt>
                <pt idx="218">
                  <v>0.115774</v>
                </pt>
                <pt idx="219">
                  <v>0.102609</v>
                </pt>
                <pt idx="220">
                  <v>0.110887</v>
                </pt>
                <pt idx="221">
                  <v>0.108025</v>
                </pt>
                <pt idx="222">
                  <v>0.127973</v>
                </pt>
                <pt idx="223">
                  <v>0.103022</v>
                </pt>
                <pt idx="224">
                  <v>0.116628</v>
                </pt>
                <pt idx="225">
                  <v>0.13228</v>
                </pt>
                <pt idx="226">
                  <v>0.113404</v>
                </pt>
                <pt idx="227">
                  <v>0.12213</v>
                </pt>
                <pt idx="228">
                  <v>0.107711</v>
                </pt>
                <pt idx="229">
                  <v>0.109895</v>
                </pt>
                <pt idx="230">
                  <v>0.113221</v>
                </pt>
                <pt idx="231">
                  <v>0.113091</v>
                </pt>
                <pt idx="232">
                  <v>0.124746</v>
                </pt>
                <pt idx="233">
                  <v>0.108688</v>
                </pt>
                <pt idx="234">
                  <v>0.11515</v>
                </pt>
                <pt idx="235">
                  <v>0.100596</v>
                </pt>
                <pt idx="236">
                  <v>0.122967</v>
                </pt>
                <pt idx="237">
                  <v>0.119485</v>
                </pt>
                <pt idx="238">
                  <v>0.114148</v>
                </pt>
                <pt idx="239">
                  <v>0.100162</v>
                </pt>
                <pt idx="240">
                  <v>0.108048</v>
                </pt>
                <pt idx="241">
                  <v>0.110176</v>
                </pt>
                <pt idx="242">
                  <v>0.106921</v>
                </pt>
                <pt idx="243">
                  <v>0.102619</v>
                </pt>
                <pt idx="244">
                  <v>0.125773</v>
                </pt>
                <pt idx="245">
                  <v>0.117353</v>
                </pt>
                <pt idx="246">
                  <v>0.114356</v>
                </pt>
                <pt idx="247">
                  <v>0.102592</v>
                </pt>
                <pt idx="248">
                  <v>0.104438</v>
                </pt>
                <pt idx="249">
                  <v>0.114537</v>
                </pt>
                <pt idx="250">
                  <v>0.151987</v>
                </pt>
                <pt idx="251">
                  <v>0.109169</v>
                </pt>
                <pt idx="252">
                  <v>0.126064</v>
                </pt>
                <pt idx="253">
                  <v>0.118082</v>
                </pt>
                <pt idx="254">
                  <v>0.102032</v>
                </pt>
                <pt idx="255">
                  <v>0.11044</v>
                </pt>
                <pt idx="256">
                  <v>0.112038</v>
                </pt>
                <pt idx="257">
                  <v>0.103638</v>
                </pt>
                <pt idx="258">
                  <v>0.133556</v>
                </pt>
                <pt idx="259">
                  <v>0.09826799999999999</v>
                </pt>
                <pt idx="260">
                  <v>0.104936</v>
                </pt>
                <pt idx="261">
                  <v>0.109745</v>
                </pt>
                <pt idx="262">
                  <v>0.10047</v>
                </pt>
                <pt idx="263">
                  <v>0.110893</v>
                </pt>
                <pt idx="264">
                  <v>0.10082</v>
                </pt>
                <pt idx="265">
                  <v>0.102847</v>
                </pt>
                <pt idx="266">
                  <v>0.113371</v>
                </pt>
                <pt idx="267">
                  <v>0.099927</v>
                </pt>
                <pt idx="268">
                  <v>0.10218</v>
                </pt>
                <pt idx="269">
                  <v>0.112623</v>
                </pt>
                <pt idx="270">
                  <v>0.103265</v>
                </pt>
                <pt idx="271">
                  <v>0.102184</v>
                </pt>
                <pt idx="272">
                  <v>0.109455</v>
                </pt>
                <pt idx="273">
                  <v>0.099414</v>
                </pt>
                <pt idx="274">
                  <v>0.109994</v>
                </pt>
                <pt idx="275">
                  <v>0.100903</v>
                </pt>
                <pt idx="276">
                  <v>0.11544</v>
                </pt>
                <pt idx="277">
                  <v>0.104854</v>
                </pt>
                <pt idx="278">
                  <v>0.100259</v>
                </pt>
                <pt idx="279">
                  <v>0.09848899999999999</v>
                </pt>
                <pt idx="280">
                  <v>0.094926</v>
                </pt>
                <pt idx="281">
                  <v>0.094212</v>
                </pt>
                <pt idx="282">
                  <v>0.09826500000000001</v>
                </pt>
                <pt idx="283">
                  <v>0.105503</v>
                </pt>
                <pt idx="284">
                  <v>0.114111</v>
                </pt>
                <pt idx="285">
                  <v>0.09872</v>
                </pt>
                <pt idx="286">
                  <v>0.110624</v>
                </pt>
                <pt idx="287">
                  <v>0.103195</v>
                </pt>
                <pt idx="288">
                  <v>0.112444</v>
                </pt>
                <pt idx="289">
                  <v>0.09608</v>
                </pt>
                <pt idx="290">
                  <v>0.103317</v>
                </pt>
                <pt idx="291">
                  <v>0.101563</v>
                </pt>
                <pt idx="292">
                  <v>0.098374</v>
                </pt>
                <pt idx="293">
                  <v>0.101266</v>
                </pt>
                <pt idx="294">
                  <v>0.132743</v>
                </pt>
                <pt idx="295">
                  <v>0.113112</v>
                </pt>
                <pt idx="296">
                  <v>0.105106</v>
                </pt>
                <pt idx="297">
                  <v>0.109315</v>
                </pt>
                <pt idx="298">
                  <v>0.096828</v>
                </pt>
                <pt idx="299">
                  <v>0.107042</v>
                </pt>
                <pt idx="300">
                  <v>0.09547600000000001</v>
                </pt>
                <pt idx="301">
                  <v>0.099482</v>
                </pt>
                <pt idx="302">
                  <v>0.102294</v>
                </pt>
                <pt idx="303">
                  <v>0.105152</v>
                </pt>
                <pt idx="304">
                  <v>0.110701</v>
                </pt>
                <pt idx="305">
                  <v>0.09272900000000001</v>
                </pt>
                <pt idx="306">
                  <v>0.102242</v>
                </pt>
                <pt idx="307">
                  <v>0.095842</v>
                </pt>
                <pt idx="308">
                  <v>0.09332699999999999</v>
                </pt>
                <pt idx="309">
                  <v>0.098561</v>
                </pt>
                <pt idx="310">
                  <v>0.105613</v>
                </pt>
                <pt idx="311">
                  <v>0.098902</v>
                </pt>
                <pt idx="312">
                  <v>0.091893</v>
                </pt>
                <pt idx="313">
                  <v>0.116478</v>
                </pt>
                <pt idx="314">
                  <v>0.099782</v>
                </pt>
                <pt idx="315">
                  <v>0.095814</v>
                </pt>
                <pt idx="316">
                  <v>0.097955</v>
                </pt>
                <pt idx="317">
                  <v>0.10174</v>
                </pt>
                <pt idx="318">
                  <v>0.091781</v>
                </pt>
                <pt idx="319">
                  <v>0.093184</v>
                </pt>
                <pt idx="320">
                  <v>0.09657200000000001</v>
                </pt>
                <pt idx="321">
                  <v>0.09748900000000001</v>
                </pt>
                <pt idx="322">
                  <v>0.098549</v>
                </pt>
                <pt idx="323">
                  <v>0.091837</v>
                </pt>
                <pt idx="324">
                  <v>0.09243700000000001</v>
                </pt>
                <pt idx="325">
                  <v>0.1071</v>
                </pt>
                <pt idx="326">
                  <v>0.102734</v>
                </pt>
                <pt idx="327">
                  <v>0.093278</v>
                </pt>
                <pt idx="328">
                  <v>0.09317400000000001</v>
                </pt>
                <pt idx="329">
                  <v>0.109016</v>
                </pt>
                <pt idx="330">
                  <v>0.09861300000000001</v>
                </pt>
                <pt idx="331">
                  <v>0.096701</v>
                </pt>
                <pt idx="332">
                  <v>0.101737</v>
                </pt>
                <pt idx="333">
                  <v>0.09321400000000001</v>
                </pt>
                <pt idx="334">
                  <v>0.108724</v>
                </pt>
                <pt idx="335">
                  <v>0.104994</v>
                </pt>
                <pt idx="336">
                  <v>0.09211999999999999</v>
                </pt>
                <pt idx="337">
                  <v>0.09607499999999999</v>
                </pt>
                <pt idx="338">
                  <v>0.100528</v>
                </pt>
                <pt idx="339">
                  <v>0.09096700000000001</v>
                </pt>
                <pt idx="340">
                  <v>0.093432</v>
                </pt>
                <pt idx="341">
                  <v>0.08894299999999999</v>
                </pt>
                <pt idx="342">
                  <v>0.100027</v>
                </pt>
                <pt idx="343">
                  <v>0.099202</v>
                </pt>
                <pt idx="344">
                  <v>0.090366</v>
                </pt>
                <pt idx="345">
                  <v>0.09357600000000001</v>
                </pt>
                <pt idx="346">
                  <v>0.091206</v>
                </pt>
                <pt idx="347">
                  <v>0.097563</v>
                </pt>
                <pt idx="348">
                  <v>0.092073</v>
                </pt>
                <pt idx="349">
                  <v>0.096524</v>
                </pt>
                <pt idx="350">
                  <v>0.11311</v>
                </pt>
                <pt idx="351">
                  <v>0.106289</v>
                </pt>
                <pt idx="352">
                  <v>0.093458</v>
                </pt>
                <pt idx="353">
                  <v>0.097535</v>
                </pt>
                <pt idx="354">
                  <v>0.110029</v>
                </pt>
                <pt idx="355">
                  <v>0.102201</v>
                </pt>
                <pt idx="356">
                  <v>0.092032</v>
                </pt>
                <pt idx="357">
                  <v>0.095133</v>
                </pt>
                <pt idx="358">
                  <v>0.09833699999999999</v>
                </pt>
                <pt idx="359">
                  <v>0.097612</v>
                </pt>
                <pt idx="360">
                  <v>0.09214</v>
                </pt>
                <pt idx="361">
                  <v>0.095403</v>
                </pt>
                <pt idx="362">
                  <v>0.093274</v>
                </pt>
                <pt idx="363">
                  <v>0.104085</v>
                </pt>
                <pt idx="364">
                  <v>0.09143999999999999</v>
                </pt>
                <pt idx="365">
                  <v>0.09009300000000001</v>
                </pt>
                <pt idx="366">
                  <v>0.090771</v>
                </pt>
                <pt idx="367">
                  <v>0.09742099999999999</v>
                </pt>
                <pt idx="368">
                  <v>0.088448</v>
                </pt>
                <pt idx="369">
                  <v>0.091672</v>
                </pt>
                <pt idx="370">
                  <v>0.08867899999999999</v>
                </pt>
                <pt idx="371">
                  <v>0.095982</v>
                </pt>
                <pt idx="372">
                  <v>0.101073</v>
                </pt>
                <pt idx="373">
                  <v>0.087738</v>
                </pt>
                <pt idx="374">
                  <v>0.095472</v>
                </pt>
                <pt idx="375">
                  <v>0.098998</v>
                </pt>
                <pt idx="376">
                  <v>0.088523</v>
                </pt>
                <pt idx="377">
                  <v>0.087881</v>
                </pt>
                <pt idx="378">
                  <v>0.108562</v>
                </pt>
                <pt idx="379">
                  <v>0.088757</v>
                </pt>
                <pt idx="380">
                  <v>0.098313</v>
                </pt>
                <pt idx="381">
                  <v>0.088517</v>
                </pt>
                <pt idx="382">
                  <v>0.101884</v>
                </pt>
                <pt idx="383">
                  <v>0.091141</v>
                </pt>
                <pt idx="384">
                  <v>0.104109</v>
                </pt>
                <pt idx="385">
                  <v>0.109863</v>
                </pt>
                <pt idx="386">
                  <v>0.085438</v>
                </pt>
                <pt idx="387">
                  <v>0.098926</v>
                </pt>
                <pt idx="388">
                  <v>0.09103799999999999</v>
                </pt>
                <pt idx="389">
                  <v>0.100456</v>
                </pt>
                <pt idx="390">
                  <v>0.089194</v>
                </pt>
                <pt idx="391">
                  <v>0.08994000000000001</v>
                </pt>
                <pt idx="392">
                  <v>0.109921</v>
                </pt>
                <pt idx="393">
                  <v>0.092156</v>
                </pt>
                <pt idx="394">
                  <v>0.093587</v>
                </pt>
                <pt idx="395">
                  <v>0.089367</v>
                </pt>
                <pt idx="396">
                  <v>0.09439500000000001</v>
                </pt>
                <pt idx="397">
                  <v>0.103104</v>
                </pt>
                <pt idx="398">
                  <v>0.082769</v>
                </pt>
                <pt idx="399">
                  <v>0.089437</v>
                </pt>
                <pt idx="400">
                  <v>0.096556</v>
                </pt>
                <pt idx="401">
                  <v>0.087051</v>
                </pt>
                <pt idx="402">
                  <v>0.09117</v>
                </pt>
                <pt idx="403">
                  <v>0.112985</v>
                </pt>
                <pt idx="404">
                  <v>0.09297</v>
                </pt>
                <pt idx="405">
                  <v>0.08918</v>
                </pt>
                <pt idx="406">
                  <v>0.085572</v>
                </pt>
                <pt idx="407">
                  <v>0.08741400000000001</v>
                </pt>
                <pt idx="408">
                  <v>0.09931</v>
                </pt>
                <pt idx="409">
                  <v>0.089113</v>
                </pt>
                <pt idx="410">
                  <v>0.094375</v>
                </pt>
                <pt idx="411">
                  <v>0.088727</v>
                </pt>
                <pt idx="412">
                  <v>0.08905299999999999</v>
                </pt>
                <pt idx="413">
                  <v>0.091589</v>
                </pt>
                <pt idx="414">
                  <v>0.093185</v>
                </pt>
                <pt idx="415">
                  <v>0.085108</v>
                </pt>
                <pt idx="416">
                  <v>0.088862</v>
                </pt>
                <pt idx="417">
                  <v>0.082749</v>
                </pt>
                <pt idx="418">
                  <v>0.08928899999999999</v>
                </pt>
                <pt idx="419">
                  <v>0.097598</v>
                </pt>
                <pt idx="420">
                  <v>0.096132</v>
                </pt>
                <pt idx="421">
                  <v>0.093496</v>
                </pt>
                <pt idx="422">
                  <v>0.08672100000000001</v>
                </pt>
                <pt idx="423">
                  <v>0.086203</v>
                </pt>
                <pt idx="424">
                  <v>0.08964900000000001</v>
                </pt>
                <pt idx="425">
                  <v>0.09063400000000001</v>
                </pt>
                <pt idx="426">
                  <v>0.087189</v>
                </pt>
                <pt idx="427">
                  <v>0.086904</v>
                </pt>
                <pt idx="428">
                  <v>0.090284</v>
                </pt>
                <pt idx="429">
                  <v>0.093066</v>
                </pt>
                <pt idx="430">
                  <v>0.083527</v>
                </pt>
                <pt idx="431">
                  <v>0.084081</v>
                </pt>
                <pt idx="432">
                  <v>0.08595899999999999</v>
                </pt>
                <pt idx="433">
                  <v>0.095279</v>
                </pt>
                <pt idx="434">
                  <v>0.08375100000000001</v>
                </pt>
                <pt idx="435">
                  <v>0.09407500000000001</v>
                </pt>
                <pt idx="436">
                  <v>0.085067</v>
                </pt>
                <pt idx="437">
                  <v>0.08823499999999999</v>
                </pt>
                <pt idx="438">
                  <v>0.085852</v>
                </pt>
                <pt idx="439">
                  <v>0.08396099999999999</v>
                </pt>
                <pt idx="440">
                  <v>0.08855399999999999</v>
                </pt>
                <pt idx="441">
                  <v>0.083178</v>
                </pt>
                <pt idx="442">
                  <v>0.108056</v>
                </pt>
                <pt idx="443">
                  <v>0.085064</v>
                </pt>
                <pt idx="444">
                  <v>0.100155</v>
                </pt>
                <pt idx="445">
                  <v>0.09494900000000001</v>
                </pt>
                <pt idx="446">
                  <v>0.087383</v>
                </pt>
                <pt idx="447">
                  <v>0.08480699999999999</v>
                </pt>
                <pt idx="448">
                  <v>0.087407</v>
                </pt>
                <pt idx="449">
                  <v>0.08520800000000001</v>
                </pt>
                <pt idx="450">
                  <v>0.088699</v>
                </pt>
                <pt idx="451">
                  <v>0.09991</v>
                </pt>
                <pt idx="452">
                  <v>0.08310099999999999</v>
                </pt>
                <pt idx="453">
                  <v>0.08545899999999999</v>
                </pt>
                <pt idx="454">
                  <v>0.08341700000000001</v>
                </pt>
                <pt idx="455">
                  <v>0.096662</v>
                </pt>
                <pt idx="456">
                  <v>0.083441</v>
                </pt>
                <pt idx="457">
                  <v>0.08139</v>
                </pt>
                <pt idx="458">
                  <v>0.08243</v>
                </pt>
                <pt idx="459">
                  <v>0.081978</v>
                </pt>
                <pt idx="460">
                  <v>0.08536299999999999</v>
                </pt>
                <pt idx="461">
                  <v>0.085955</v>
                </pt>
                <pt idx="462">
                  <v>0.090766</v>
                </pt>
                <pt idx="463">
                  <v>0.087045</v>
                </pt>
                <pt idx="464">
                  <v>0.09144099999999999</v>
                </pt>
                <pt idx="465">
                  <v>0.084519</v>
                </pt>
                <pt idx="466">
                  <v>0.08661099999999999</v>
                </pt>
                <pt idx="467">
                  <v>0.08347499999999999</v>
                </pt>
                <pt idx="468">
                  <v>0.08490499999999999</v>
                </pt>
                <pt idx="469">
                  <v>0.092694</v>
                </pt>
                <pt idx="470">
                  <v>0.08629199999999999</v>
                </pt>
                <pt idx="471">
                  <v>0.09114700000000001</v>
                </pt>
                <pt idx="472">
                  <v>0.103377</v>
                </pt>
                <pt idx="473">
                  <v>0.08085100000000001</v>
                </pt>
                <pt idx="474">
                  <v>0.082007</v>
                </pt>
                <pt idx="475">
                  <v>0.08312700000000001</v>
                </pt>
                <pt idx="476">
                  <v>0.084133</v>
                </pt>
                <pt idx="477">
                  <v>0.081926</v>
                </pt>
                <pt idx="478">
                  <v>0.087036</v>
                </pt>
                <pt idx="479">
                  <v>0.08010100000000001</v>
                </pt>
                <pt idx="480">
                  <v>0.08086500000000001</v>
                </pt>
                <pt idx="481">
                  <v>0.09016299999999999</v>
                </pt>
                <pt idx="482">
                  <v>0.08152</v>
                </pt>
                <pt idx="483">
                  <v>0.081844</v>
                </pt>
                <pt idx="484">
                  <v>0.08365400000000001</v>
                </pt>
                <pt idx="485">
                  <v>0.08740299999999999</v>
                </pt>
                <pt idx="486">
                  <v>0.081756</v>
                </pt>
                <pt idx="487">
                  <v>0.089142</v>
                </pt>
                <pt idx="488">
                  <v>0.091736</v>
                </pt>
                <pt idx="489">
                  <v>0.085246</v>
                </pt>
                <pt idx="490">
                  <v>0.090641</v>
                </pt>
                <pt idx="491">
                  <v>0.080433</v>
                </pt>
                <pt idx="492">
                  <v>0.091656</v>
                </pt>
                <pt idx="493">
                  <v>0.08063099999999999</v>
                </pt>
                <pt idx="494">
                  <v>0.08697299999999999</v>
                </pt>
                <pt idx="495">
                  <v>0.081036</v>
                </pt>
                <pt idx="496">
                  <v>0.08224099999999999</v>
                </pt>
                <pt idx="497">
                  <v>0.081026</v>
                </pt>
                <pt idx="498">
                  <v>0.083055</v>
                </pt>
                <pt idx="499">
                  <v>0.081298</v>
                </pt>
                <pt idx="500">
                  <v>0.08061699999999999</v>
                </pt>
                <pt idx="501">
                  <v>0.081007</v>
                </pt>
                <pt idx="502">
                  <v>0.08484800000000001</v>
                </pt>
                <pt idx="503">
                  <v>0.08136400000000001</v>
                </pt>
                <pt idx="504">
                  <v>0.07943699999999999</v>
                </pt>
                <pt idx="505">
                  <v>0.083963</v>
                </pt>
                <pt idx="506">
                  <v>0.084076</v>
                </pt>
                <pt idx="507">
                  <v>0.08176600000000001</v>
                </pt>
                <pt idx="508">
                  <v>0.083888</v>
                </pt>
                <pt idx="509">
                  <v>0.080341</v>
                </pt>
                <pt idx="510">
                  <v>0.079165</v>
                </pt>
                <pt idx="511">
                  <v>0.079662</v>
                </pt>
                <pt idx="512">
                  <v>0.087351</v>
                </pt>
                <pt idx="513">
                  <v>0.079683</v>
                </pt>
                <pt idx="514">
                  <v>0.082367</v>
                </pt>
                <pt idx="515">
                  <v>0.083734</v>
                </pt>
                <pt idx="516">
                  <v>0.078587</v>
                </pt>
                <pt idx="517">
                  <v>0.079378</v>
                </pt>
                <pt idx="518">
                  <v>0.08671</v>
                </pt>
                <pt idx="519">
                  <v>0.078371</v>
                </pt>
                <pt idx="520">
                  <v>0.07971399999999999</v>
                </pt>
                <pt idx="521">
                  <v>0.078578</v>
                </pt>
                <pt idx="522">
                  <v>0.07945099999999999</v>
                </pt>
                <pt idx="523">
                  <v>0.079276</v>
                </pt>
                <pt idx="524">
                  <v>0.07792200000000001</v>
                </pt>
                <pt idx="525">
                  <v>0.079595</v>
                </pt>
                <pt idx="526">
                  <v>0.086644</v>
                </pt>
                <pt idx="527">
                  <v>0.078919</v>
                </pt>
                <pt idx="528">
                  <v>0.078221</v>
                </pt>
                <pt idx="529">
                  <v>0.08153100000000001</v>
                </pt>
                <pt idx="530">
                  <v>0.08011799999999999</v>
                </pt>
                <pt idx="531">
                  <v>0.08010100000000001</v>
                </pt>
                <pt idx="532">
                  <v>0.087897</v>
                </pt>
                <pt idx="533">
                  <v>0.07896499999999999</v>
                </pt>
                <pt idx="534">
                  <v>0.080023</v>
                </pt>
                <pt idx="535">
                  <v>0.080997</v>
                </pt>
                <pt idx="536">
                  <v>0.087987</v>
                </pt>
                <pt idx="537">
                  <v>0.088436</v>
                </pt>
                <pt idx="538">
                  <v>0.08167199999999999</v>
                </pt>
                <pt idx="539">
                  <v>0.07964599999999999</v>
                </pt>
                <pt idx="540">
                  <v>0.081538</v>
                </pt>
                <pt idx="541">
                  <v>0.08625099999999999</v>
                </pt>
                <pt idx="542">
                  <v>0.07896499999999999</v>
                </pt>
                <pt idx="543">
                  <v>0.079016</v>
                </pt>
                <pt idx="544">
                  <v>0.080263</v>
                </pt>
                <pt idx="545">
                  <v>0.080155</v>
                </pt>
                <pt idx="546">
                  <v>0.081164</v>
                </pt>
                <pt idx="547">
                  <v>0.07874399999999999</v>
                </pt>
                <pt idx="548">
                  <v>0.079443</v>
                </pt>
                <pt idx="549">
                  <v>0.08050300000000001</v>
                </pt>
                <pt idx="550">
                  <v>0.078463</v>
                </pt>
                <pt idx="551">
                  <v>0.077431</v>
                </pt>
                <pt idx="552">
                  <v>0.078194</v>
                </pt>
                <pt idx="553">
                  <v>0.078399</v>
                </pt>
                <pt idx="554">
                  <v>0.078988</v>
                </pt>
                <pt idx="555">
                  <v>0.08147799999999999</v>
                </pt>
                <pt idx="556">
                  <v>0.07928300000000001</v>
                </pt>
                <pt idx="557">
                  <v>0.07621699999999999</v>
                </pt>
                <pt idx="558">
                  <v>0.07827000000000001</v>
                </pt>
                <pt idx="559">
                  <v>0.077934</v>
                </pt>
                <pt idx="560">
                  <v>0.083536</v>
                </pt>
                <pt idx="561">
                  <v>0.07922899999999999</v>
                </pt>
                <pt idx="562">
                  <v>0.07820100000000001</v>
                </pt>
                <pt idx="563">
                  <v>0.07707899999999999</v>
                </pt>
                <pt idx="564">
                  <v>0.078981</v>
                </pt>
                <pt idx="565">
                  <v>0.08314299999999999</v>
                </pt>
                <pt idx="566">
                  <v>0.07845299999999999</v>
                </pt>
                <pt idx="567">
                  <v>0.07665</v>
                </pt>
                <pt idx="568">
                  <v>0.078515</v>
                </pt>
                <pt idx="569">
                  <v>0.07817499999999999</v>
                </pt>
                <pt idx="570">
                  <v>0.077362</v>
                </pt>
                <pt idx="571">
                  <v>0.076863</v>
                </pt>
                <pt idx="572">
                  <v>0.076585</v>
                </pt>
                <pt idx="573">
                  <v>0.077226</v>
                </pt>
                <pt idx="574">
                  <v>0.07725600000000001</v>
                </pt>
                <pt idx="575">
                  <v>0.08323800000000001</v>
                </pt>
                <pt idx="576">
                  <v>0.077649</v>
                </pt>
                <pt idx="577">
                  <v>0.078148</v>
                </pt>
                <pt idx="578">
                  <v>0.079919</v>
                </pt>
                <pt idx="579">
                  <v>0.085572</v>
                </pt>
                <pt idx="580">
                  <v>0.079376</v>
                </pt>
                <pt idx="581">
                  <v>0.076213</v>
                </pt>
                <pt idx="582">
                  <v>0.080301</v>
                </pt>
                <pt idx="583">
                  <v>0.07875699999999999</v>
                </pt>
                <pt idx="584">
                  <v>0.076054</v>
                </pt>
                <pt idx="585">
                  <v>0.079141</v>
                </pt>
                <pt idx="586">
                  <v>0.077017</v>
                </pt>
                <pt idx="587">
                  <v>0.07723099999999999</v>
                </pt>
                <pt idx="588">
                  <v>0.08271000000000001</v>
                </pt>
                <pt idx="589">
                  <v>0.077088</v>
                </pt>
                <pt idx="590">
                  <v>0.078141</v>
                </pt>
                <pt idx="591">
                  <v>0.076529</v>
                </pt>
                <pt idx="592">
                  <v>0.076053</v>
                </pt>
                <pt idx="593">
                  <v>0.082991</v>
                </pt>
                <pt idx="594">
                  <v>0.076818</v>
                </pt>
                <pt idx="595">
                  <v>0.077101</v>
                </pt>
                <pt idx="596">
                  <v>0.074558</v>
                </pt>
                <pt idx="597">
                  <v>0.07678</v>
                </pt>
                <pt idx="598">
                  <v>0.07681499999999999</v>
                </pt>
                <pt idx="599">
                  <v>0.075778</v>
                </pt>
                <pt idx="600">
                  <v>0.07670299999999999</v>
                </pt>
                <pt idx="601">
                  <v>0.077087</v>
                </pt>
                <pt idx="602">
                  <v>0.078454</v>
                </pt>
                <pt idx="603">
                  <v>0.074963</v>
                </pt>
                <pt idx="604">
                  <v>0.082816</v>
                </pt>
                <pt idx="605">
                  <v>0.075778</v>
                </pt>
                <pt idx="606">
                  <v>0.07718</v>
                </pt>
                <pt idx="607">
                  <v>0.075214</v>
                </pt>
                <pt idx="608">
                  <v>0.078461</v>
                </pt>
                <pt idx="609">
                  <v>0.07623000000000001</v>
                </pt>
                <pt idx="610">
                  <v>0.076247</v>
                </pt>
                <pt idx="611">
                  <v>0.07487099999999999</v>
                </pt>
                <pt idx="612">
                  <v>0.076187</v>
                </pt>
                <pt idx="613">
                  <v>0.075323</v>
                </pt>
                <pt idx="614">
                  <v>0.074785</v>
                </pt>
                <pt idx="615">
                  <v>0.07847700000000001</v>
                </pt>
                <pt idx="616">
                  <v>0.07610699999999999</v>
                </pt>
                <pt idx="617">
                  <v>0.07749399999999999</v>
                </pt>
                <pt idx="618">
                  <v>0.081652</v>
                </pt>
                <pt idx="619">
                  <v>0.07480299999999999</v>
                </pt>
                <pt idx="620">
                  <v>0.077392</v>
                </pt>
                <pt idx="621">
                  <v>0.076682</v>
                </pt>
                <pt idx="622">
                  <v>0.074822</v>
                </pt>
                <pt idx="623">
                  <v>0.074866</v>
                </pt>
                <pt idx="624">
                  <v>0.07663499999999999</v>
                </pt>
                <pt idx="625">
                  <v>0.074614</v>
                </pt>
                <pt idx="626">
                  <v>0.07537099999999999</v>
                </pt>
                <pt idx="627">
                  <v>0.076178</v>
                </pt>
                <pt idx="628">
                  <v>0.07821400000000001</v>
                </pt>
                <pt idx="629">
                  <v>0.07556</v>
                </pt>
                <pt idx="630">
                  <v>0.07477399999999999</v>
                </pt>
                <pt idx="631">
                  <v>0.07594099999999999</v>
                </pt>
                <pt idx="632">
                  <v>0.075005</v>
                </pt>
                <pt idx="633">
                  <v>0.07517799999999999</v>
                </pt>
                <pt idx="634">
                  <v>0.07524</v>
                </pt>
                <pt idx="635">
                  <v>0.075348</v>
                </pt>
                <pt idx="636">
                  <v>0.076866</v>
                </pt>
                <pt idx="637">
                  <v>0.076349</v>
                </pt>
                <pt idx="638">
                  <v>0.076527</v>
                </pt>
                <pt idx="639">
                  <v>0.074952</v>
                </pt>
                <pt idx="640">
                  <v>0.074712</v>
                </pt>
                <pt idx="641">
                  <v>0.07972600000000001</v>
                </pt>
                <pt idx="642">
                  <v>0.07541399999999999</v>
                </pt>
                <pt idx="643">
                  <v>0.074167</v>
                </pt>
                <pt idx="644">
                  <v>0.074458</v>
                </pt>
                <pt idx="645">
                  <v>0.075429</v>
                </pt>
                <pt idx="646">
                  <v>0.074945</v>
                </pt>
                <pt idx="647">
                  <v>0.076852</v>
                </pt>
                <pt idx="648">
                  <v>0.07505299999999999</v>
                </pt>
                <pt idx="649">
                  <v>0.075194</v>
                </pt>
                <pt idx="650">
                  <v>0.074749</v>
                </pt>
                <pt idx="651">
                  <v>0.07699300000000001</v>
                </pt>
                <pt idx="652">
                  <v>0.07428700000000001</v>
                </pt>
                <pt idx="653">
                  <v>0.074208</v>
                </pt>
                <pt idx="654">
                  <v>0.075211</v>
                </pt>
                <pt idx="655">
                  <v>0.074584</v>
                </pt>
                <pt idx="656">
                  <v>0.075846</v>
                </pt>
                <pt idx="657">
                  <v>0.07602399999999999</v>
                </pt>
                <pt idx="658">
                  <v>0.07582</v>
                </pt>
                <pt idx="659">
                  <v>0.07466100000000001</v>
                </pt>
                <pt idx="660">
                  <v>0.07448299999999999</v>
                </pt>
                <pt idx="661">
                  <v>0.074938</v>
                </pt>
                <pt idx="662">
                  <v>0.074189</v>
                </pt>
                <pt idx="663">
                  <v>0.074278</v>
                </pt>
                <pt idx="664">
                  <v>0.075706</v>
                </pt>
                <pt idx="665">
                  <v>0.074254</v>
                </pt>
                <pt idx="666">
                  <v>0.07491</v>
                </pt>
                <pt idx="667">
                  <v>0.073475</v>
                </pt>
                <pt idx="668">
                  <v>0.075416</v>
                </pt>
                <pt idx="669">
                  <v>0.07409399999999999</v>
                </pt>
                <pt idx="670">
                  <v>0.074882</v>
                </pt>
                <pt idx="671">
                  <v>0.07413599999999999</v>
                </pt>
                <pt idx="672">
                  <v>0.074118</v>
                </pt>
                <pt idx="673">
                  <v>0.074077</v>
                </pt>
                <pt idx="674">
                  <v>0.074174</v>
                </pt>
                <pt idx="675">
                  <v>0.074681</v>
                </pt>
                <pt idx="676">
                  <v>0.07344100000000001</v>
                </pt>
                <pt idx="677">
                  <v>0.075618</v>
                </pt>
                <pt idx="678">
                  <v>0.075831</v>
                </pt>
                <pt idx="679">
                  <v>0.075043</v>
                </pt>
                <pt idx="680">
                  <v>0.073627</v>
                </pt>
                <pt idx="681">
                  <v>0.073465</v>
                </pt>
                <pt idx="682">
                  <v>0.073675</v>
                </pt>
                <pt idx="683">
                  <v>0.07458099999999999</v>
                </pt>
                <pt idx="684">
                  <v>0.073562</v>
                </pt>
                <pt idx="685">
                  <v>0.073851</v>
                </pt>
                <pt idx="686">
                  <v>0.07535600000000001</v>
                </pt>
                <pt idx="687">
                  <v>0.073602</v>
                </pt>
                <pt idx="688">
                  <v>0.074166</v>
                </pt>
                <pt idx="689">
                  <v>0.07384499999999999</v>
                </pt>
                <pt idx="690">
                  <v>0.07553799999999999</v>
                </pt>
                <pt idx="691">
                  <v>0.074215</v>
                </pt>
                <pt idx="692">
                  <v>0.072977</v>
                </pt>
                <pt idx="693">
                  <v>0.074173</v>
                </pt>
                <pt idx="694">
                  <v>0.07380399999999999</v>
                </pt>
                <pt idx="695">
                  <v>0.074305</v>
                </pt>
                <pt idx="696">
                  <v>0.073306</v>
                </pt>
                <pt idx="697">
                  <v>0.073938</v>
                </pt>
                <pt idx="698">
                  <v>0.07421700000000001</v>
                </pt>
                <pt idx="699">
                  <v>0.07298499999999999</v>
                </pt>
                <pt idx="700">
                  <v>0.073008</v>
                </pt>
                <pt idx="701">
                  <v>0.073612</v>
                </pt>
                <pt idx="702">
                  <v>0.074249</v>
                </pt>
                <pt idx="703">
                  <v>0.073513</v>
                </pt>
                <pt idx="704">
                  <v>0.07399500000000001</v>
                </pt>
                <pt idx="705">
                  <v>0.073891</v>
                </pt>
                <pt idx="706">
                  <v>0.074182</v>
                </pt>
                <pt idx="707">
                  <v>0.073335</v>
                </pt>
                <pt idx="708">
                  <v>0.07323200000000001</v>
                </pt>
                <pt idx="709">
                  <v>0.07353899999999999</v>
                </pt>
                <pt idx="710">
                  <v>0.07346</v>
                </pt>
                <pt idx="711">
                  <v>0.07310800000000001</v>
                </pt>
                <pt idx="712">
                  <v>0.073479</v>
                </pt>
                <pt idx="713">
                  <v>0.073125</v>
                </pt>
                <pt idx="714">
                  <v>0.073545</v>
                </pt>
                <pt idx="715">
                  <v>0.07357</v>
                </pt>
                <pt idx="716">
                  <v>0.073071</v>
                </pt>
                <pt idx="717">
                  <v>0.073699</v>
                </pt>
                <pt idx="718">
                  <v>0.073792</v>
                </pt>
                <pt idx="719">
                  <v>0.07384400000000001</v>
                </pt>
                <pt idx="720">
                  <v>0.072801</v>
                </pt>
                <pt idx="721">
                  <v>0.073227</v>
                </pt>
                <pt idx="722">
                  <v>0.072725</v>
                </pt>
                <pt idx="723">
                  <v>0.073098</v>
                </pt>
                <pt idx="724">
                  <v>0.073162</v>
                </pt>
                <pt idx="725">
                  <v>0.073173</v>
                </pt>
                <pt idx="726">
                  <v>0.07291</v>
                </pt>
                <pt idx="727">
                  <v>0.072814</v>
                </pt>
                <pt idx="728">
                  <v>0.072544</v>
                </pt>
                <pt idx="729">
                  <v>0.07274</v>
                </pt>
                <pt idx="730">
                  <v>0.073172</v>
                </pt>
                <pt idx="731">
                  <v>0.073001</v>
                </pt>
                <pt idx="732">
                  <v>0.072842</v>
                </pt>
                <pt idx="733">
                  <v>0.072823</v>
                </pt>
                <pt idx="734">
                  <v>0.073779</v>
                </pt>
                <pt idx="735">
                  <v>0.073044</v>
                </pt>
                <pt idx="736">
                  <v>0.07291300000000001</v>
                </pt>
                <pt idx="737">
                  <v>0.073071</v>
                </pt>
                <pt idx="738">
                  <v>0.073036</v>
                </pt>
                <pt idx="739">
                  <v>0.072876</v>
                </pt>
                <pt idx="740">
                  <v>0.073046</v>
                </pt>
                <pt idx="741">
                  <v>0.073541</v>
                </pt>
                <pt idx="742">
                  <v>0.072667</v>
                </pt>
                <pt idx="743">
                  <v>0.073546</v>
                </pt>
                <pt idx="744">
                  <v>0.074573</v>
                </pt>
                <pt idx="745">
                  <v>0.072753</v>
                </pt>
                <pt idx="746">
                  <v>0.073156</v>
                </pt>
                <pt idx="747">
                  <v>0.073272</v>
                </pt>
                <pt idx="748">
                  <v>0.073022</v>
                </pt>
                <pt idx="749">
                  <v>0.072718</v>
                </pt>
                <pt idx="750">
                  <v>0.07309400000000001</v>
                </pt>
                <pt idx="751">
                  <v>0.072906</v>
                </pt>
                <pt idx="752">
                  <v>0.072766</v>
                </pt>
                <pt idx="753">
                  <v>0.07315000000000001</v>
                </pt>
                <pt idx="754">
                  <v>0.072626</v>
                </pt>
                <pt idx="755">
                  <v>0.072798</v>
                </pt>
                <pt idx="756">
                  <v>0.072967</v>
                </pt>
                <pt idx="757">
                  <v>0.07294399999999999</v>
                </pt>
                <pt idx="758">
                  <v>0.07414900000000001</v>
                </pt>
                <pt idx="759">
                  <v>0.07398</v>
                </pt>
                <pt idx="760">
                  <v>0.072992</v>
                </pt>
                <pt idx="761">
                  <v>0.072336</v>
                </pt>
                <pt idx="762">
                  <v>0.07319199999999999</v>
                </pt>
                <pt idx="763">
                  <v>0.072544</v>
                </pt>
                <pt idx="764">
                  <v>0.072274</v>
                </pt>
                <pt idx="765">
                  <v>0.072783</v>
                </pt>
                <pt idx="766">
                  <v>0.072368</v>
                </pt>
                <pt idx="767">
                  <v>0.073103</v>
                </pt>
                <pt idx="768">
                  <v>0.072647</v>
                </pt>
                <pt idx="769">
                  <v>0.072853</v>
                </pt>
                <pt idx="770">
                  <v>0.07264900000000001</v>
                </pt>
                <pt idx="771">
                  <v>0.072322</v>
                </pt>
                <pt idx="772">
                  <v>0.07217800000000001</v>
                </pt>
                <pt idx="773">
                  <v>0.072315</v>
                </pt>
                <pt idx="774">
                  <v>0.072584</v>
                </pt>
                <pt idx="775">
                  <v>0.072161</v>
                </pt>
                <pt idx="776">
                  <v>0.07238700000000001</v>
                </pt>
                <pt idx="777">
                  <v>0.072698</v>
                </pt>
                <pt idx="778">
                  <v>0.07237200000000001</v>
                </pt>
                <pt idx="779">
                  <v>0.072161</v>
                </pt>
                <pt idx="780">
                  <v>0.07224700000000001</v>
                </pt>
                <pt idx="781">
                  <v>0.072532</v>
                </pt>
                <pt idx="782">
                  <v>0.072272</v>
                </pt>
                <pt idx="783">
                  <v>0.072389</v>
                </pt>
                <pt idx="784">
                  <v>0.07248400000000001</v>
                </pt>
                <pt idx="785">
                  <v>0.072599</v>
                </pt>
                <pt idx="786">
                  <v>0.07298200000000001</v>
                </pt>
                <pt idx="787">
                  <v>0.07263500000000001</v>
                </pt>
                <pt idx="788">
                  <v>0.072422</v>
                </pt>
                <pt idx="789">
                  <v>0.072877</v>
                </pt>
                <pt idx="790">
                  <v>0.07281799999999999</v>
                </pt>
                <pt idx="791">
                  <v>0.072292</v>
                </pt>
                <pt idx="792">
                  <v>0.07277500000000001</v>
                </pt>
                <pt idx="793">
                  <v>0.072584</v>
                </pt>
                <pt idx="794">
                  <v>0.07284</v>
                </pt>
                <pt idx="795">
                  <v>0.07263699999999999</v>
                </pt>
                <pt idx="796">
                  <v>0.072352</v>
                </pt>
                <pt idx="797">
                  <v>0.07272199999999999</v>
                </pt>
                <pt idx="798">
                  <v>0.072376</v>
                </pt>
                <pt idx="799">
                  <v>0.072454</v>
                </pt>
                <pt idx="800">
                  <v>0.07279099999999999</v>
                </pt>
                <pt idx="801">
                  <v>0.072491</v>
                </pt>
                <pt idx="802">
                  <v>0.072339</v>
                </pt>
                <pt idx="803">
                  <v>0.072505</v>
                </pt>
                <pt idx="804">
                  <v>0.072424</v>
                </pt>
                <pt idx="805">
                  <v>0.072321</v>
                </pt>
                <pt idx="806">
                  <v>0.072403</v>
                </pt>
                <pt idx="807">
                  <v>0.072281</v>
                </pt>
                <pt idx="808">
                  <v>0.072329</v>
                </pt>
                <pt idx="809">
                  <v>0.072278</v>
                </pt>
                <pt idx="810">
                  <v>0.072336</v>
                </pt>
                <pt idx="811">
                  <v>0.072363</v>
                </pt>
                <pt idx="812">
                  <v>0.072737</v>
                </pt>
                <pt idx="813">
                  <v>0.072614</v>
                </pt>
                <pt idx="814">
                  <v>0.072272</v>
                </pt>
                <pt idx="815">
                  <v>0.072279</v>
                </pt>
                <pt idx="816">
                  <v>0.072397</v>
                </pt>
                <pt idx="817">
                  <v>0.07239900000000001</v>
                </pt>
                <pt idx="818">
                  <v>0.072328</v>
                </pt>
                <pt idx="819">
                  <v>0.07223300000000001</v>
                </pt>
                <pt idx="820">
                  <v>0.072195</v>
                </pt>
                <pt idx="821">
                  <v>0.072245</v>
                </pt>
                <pt idx="822">
                  <v>0.07242899999999999</v>
                </pt>
                <pt idx="823">
                  <v>0.072229</v>
                </pt>
                <pt idx="824">
                  <v>0.072168</v>
                </pt>
                <pt idx="825">
                  <v>0.072321</v>
                </pt>
                <pt idx="826">
                  <v>0.07234</v>
                </pt>
                <pt idx="827">
                  <v>0.072257</v>
                </pt>
                <pt idx="828">
                  <v>0.0723</v>
                </pt>
                <pt idx="829">
                  <v>0.072293</v>
                </pt>
                <pt idx="830">
                  <v>0.0723</v>
                </pt>
                <pt idx="831">
                  <v>0.07231</v>
                </pt>
                <pt idx="832">
                  <v>0.07223300000000001</v>
                </pt>
                <pt idx="833">
                  <v>0.072113</v>
                </pt>
                <pt idx="834">
                  <v>0.07239</v>
                </pt>
                <pt idx="835">
                  <v>0.07220600000000001</v>
                </pt>
                <pt idx="836">
                  <v>0.072175</v>
                </pt>
                <pt idx="837">
                  <v>0.072183</v>
                </pt>
                <pt idx="838">
                  <v>0.072267</v>
                </pt>
                <pt idx="839">
                  <v>0.072393</v>
                </pt>
                <pt idx="840">
                  <v>0.072016</v>
                </pt>
                <pt idx="841">
                  <v>0.072349</v>
                </pt>
                <pt idx="842">
                  <v>0.07212300000000001</v>
                </pt>
                <pt idx="843">
                  <v>0.07219</v>
                </pt>
                <pt idx="844">
                  <v>0.07223300000000001</v>
                </pt>
                <pt idx="845">
                  <v>0.072149</v>
                </pt>
                <pt idx="846">
                  <v>0.0722</v>
                </pt>
                <pt idx="847">
                  <v>0.072216</v>
                </pt>
                <pt idx="848">
                  <v>0.07223599999999999</v>
                </pt>
                <pt idx="849">
                  <v>0.072351</v>
                </pt>
                <pt idx="850">
                  <v>0.072272</v>
                </pt>
                <pt idx="851">
                  <v>0.072615</v>
                </pt>
                <pt idx="852">
                  <v>0.072309</v>
                </pt>
                <pt idx="853">
                  <v>0.072217</v>
                </pt>
                <pt idx="854">
                  <v>0.072283</v>
                </pt>
                <pt idx="855">
                  <v>0.072196</v>
                </pt>
                <pt idx="856">
                  <v>0.072201</v>
                </pt>
                <pt idx="857">
                  <v>0.07238600000000001</v>
                </pt>
                <pt idx="858">
                  <v>0.072204</v>
                </pt>
                <pt idx="859">
                  <v>0.072243</v>
                </pt>
                <pt idx="860">
                  <v>0.072258</v>
                </pt>
                <pt idx="861">
                  <v>0.072159</v>
                </pt>
                <pt idx="862">
                  <v>0.072134</v>
                </pt>
                <pt idx="863">
                  <v>0.07231899999999999</v>
                </pt>
                <pt idx="864">
                  <v>0.072198</v>
                </pt>
                <pt idx="865">
                  <v>0.072355</v>
                </pt>
                <pt idx="866">
                  <v>0.07233000000000001</v>
                </pt>
                <pt idx="867">
                  <v>0.072241</v>
                </pt>
                <pt idx="868">
                  <v>0.072253</v>
                </pt>
                <pt idx="869">
                  <v>0.072183</v>
                </pt>
                <pt idx="870">
                  <v>0.07224999999999999</v>
                </pt>
                <pt idx="871">
                  <v>0.07236099999999999</v>
                </pt>
                <pt idx="872">
                  <v>0.072245</v>
                </pt>
                <pt idx="873">
                  <v>0.07220500000000001</v>
                </pt>
                <pt idx="874">
                  <v>0.072242</v>
                </pt>
                <pt idx="875">
                  <v>0.072338</v>
                </pt>
                <pt idx="876">
                  <v>0.072214</v>
                </pt>
                <pt idx="877">
                  <v>0.072176</v>
                </pt>
                <pt idx="878">
                  <v>0.072212</v>
                </pt>
                <pt idx="879">
                  <v>0.072119</v>
                </pt>
                <pt idx="880">
                  <v>0.072231</v>
                </pt>
                <pt idx="881">
                  <v>0.07219</v>
                </pt>
                <pt idx="882">
                  <v>0.072245</v>
                </pt>
                <pt idx="883">
                  <v>0.07217</v>
                </pt>
                <pt idx="884">
                  <v>0.072259</v>
                </pt>
                <pt idx="885">
                  <v>0.072256</v>
                </pt>
                <pt idx="886">
                  <v>0.07220600000000001</v>
                </pt>
                <pt idx="887">
                  <v>0.072259</v>
                </pt>
                <pt idx="888">
                  <v>0.072189</v>
                </pt>
                <pt idx="889">
                  <v>0.072203</v>
                </pt>
                <pt idx="890">
                  <v>0.072281</v>
                </pt>
                <pt idx="891">
                  <v>0.072218</v>
                </pt>
                <pt idx="892">
                  <v>0.072172</v>
                </pt>
                <pt idx="893">
                  <v>0.072147</v>
                </pt>
                <pt idx="894">
                  <v>0.072167</v>
                </pt>
                <pt idx="895">
                  <v>0.072257</v>
                </pt>
                <pt idx="896">
                  <v>0.072259</v>
                </pt>
                <pt idx="897">
                  <v>0.072147</v>
                </pt>
                <pt idx="898">
                  <v>0.07221900000000001</v>
                </pt>
                <pt idx="899">
                  <v>0.07222000000000001</v>
                </pt>
                <pt idx="900">
                  <v>0.072214</v>
                </pt>
                <pt idx="901">
                  <v>0.07223599999999999</v>
                </pt>
                <pt idx="902">
                  <v>0.072202</v>
                </pt>
                <pt idx="903">
                  <v>0.072238</v>
                </pt>
              </numCache>
            </numRef>
          </val>
          <smooth val="0"/>
        </ser>
        <ser>
          <idx val="1"/>
          <order val="1"/>
          <tx>
            <strRef>
              <f>记录!$G$3</f>
              <strCache>
                <ptCount val="1"/>
                <pt idx="0">
                  <v>Valid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val>
            <numRef>
              <f>记录!$G$4:$G$907</f>
              <numCache>
                <formatCode>General</formatCode>
                <ptCount val="904"/>
                <pt idx="0">
                  <v>0.764005</v>
                </pt>
                <pt idx="1">
                  <v>0.755023</v>
                </pt>
                <pt idx="2">
                  <v>0.562772</v>
                </pt>
                <pt idx="3">
                  <v>0.574784</v>
                </pt>
                <pt idx="4">
                  <v>0.516019</v>
                </pt>
                <pt idx="5">
                  <v>0.406413</v>
                </pt>
                <pt idx="6">
                  <v>0.356118</v>
                </pt>
                <pt idx="7">
                  <v>0.429493</v>
                </pt>
                <pt idx="8">
                  <v>0.28007</v>
                </pt>
                <pt idx="9">
                  <v>0.339285</v>
                </pt>
                <pt idx="10">
                  <v>0.443253</v>
                </pt>
                <pt idx="11">
                  <v>0.434844</v>
                </pt>
                <pt idx="12">
                  <v>0.392176</v>
                </pt>
                <pt idx="13">
                  <v>0.261946</v>
                </pt>
                <pt idx="14">
                  <v>0.246033</v>
                </pt>
                <pt idx="15">
                  <v>0.231293</v>
                </pt>
                <pt idx="16">
                  <v>0.291695</v>
                </pt>
                <pt idx="17">
                  <v>0.251517</v>
                </pt>
                <pt idx="18">
                  <v>0.266468</v>
                </pt>
                <pt idx="19">
                  <v>0.257792</v>
                </pt>
                <pt idx="20">
                  <v>0.26358</v>
                </pt>
                <pt idx="21">
                  <v>0.217195</v>
                </pt>
                <pt idx="22">
                  <v>0.20456</v>
                </pt>
                <pt idx="23">
                  <v>0.235082</v>
                </pt>
                <pt idx="24">
                  <v>0.21513</v>
                </pt>
                <pt idx="25">
                  <v>0.226425</v>
                </pt>
                <pt idx="26">
                  <v>0.199993</v>
                </pt>
                <pt idx="27">
                  <v>0.20533</v>
                </pt>
                <pt idx="28">
                  <v>0.243758</v>
                </pt>
                <pt idx="29">
                  <v>0.263274</v>
                </pt>
                <pt idx="30">
                  <v>0.200006</v>
                </pt>
                <pt idx="31">
                  <v>0.213184</v>
                </pt>
                <pt idx="32">
                  <v>0.162796</v>
                </pt>
                <pt idx="33">
                  <v>0.193517</v>
                </pt>
                <pt idx="34">
                  <v>0.197158</v>
                </pt>
                <pt idx="35">
                  <v>0.269224</v>
                </pt>
                <pt idx="36">
                  <v>0.21183</v>
                </pt>
                <pt idx="37">
                  <v>0.221239</v>
                </pt>
                <pt idx="38">
                  <v>0.275451</v>
                </pt>
                <pt idx="39">
                  <v>0.176827</v>
                </pt>
                <pt idx="40">
                  <v>0.26486</v>
                </pt>
                <pt idx="41">
                  <v>0.170314</v>
                </pt>
                <pt idx="42">
                  <v>0.241473</v>
                </pt>
                <pt idx="43">
                  <v>0.230207</v>
                </pt>
                <pt idx="44">
                  <v>0.188109</v>
                </pt>
                <pt idx="45">
                  <v>0.23294</v>
                </pt>
                <pt idx="46">
                  <v>0.200136</v>
                </pt>
                <pt idx="47">
                  <v>0.175938</v>
                </pt>
                <pt idx="48">
                  <v>0.183431</v>
                </pt>
                <pt idx="49">
                  <v>0.147439</v>
                </pt>
                <pt idx="50">
                  <v>0.159796</v>
                </pt>
                <pt idx="51">
                  <v>0.163809</v>
                </pt>
                <pt idx="52">
                  <v>0.145597</v>
                </pt>
                <pt idx="53">
                  <v>0.153729</v>
                </pt>
                <pt idx="54">
                  <v>0.158743</v>
                </pt>
                <pt idx="55">
                  <v>0.197736</v>
                </pt>
                <pt idx="56">
                  <v>0.136187</v>
                </pt>
                <pt idx="57">
                  <v>0.19647</v>
                </pt>
                <pt idx="58">
                  <v>0.171316</v>
                </pt>
                <pt idx="59">
                  <v>0.25105</v>
                </pt>
                <pt idx="60">
                  <v>0.146775</v>
                </pt>
                <pt idx="61">
                  <v>0.185286</v>
                </pt>
                <pt idx="62">
                  <v>0.150837</v>
                </pt>
                <pt idx="63">
                  <v>0.179202</v>
                </pt>
                <pt idx="64">
                  <v>0.183629</v>
                </pt>
                <pt idx="65">
                  <v>0.146956</v>
                </pt>
                <pt idx="66">
                  <v>0.191295</v>
                </pt>
                <pt idx="67">
                  <v>0.148654</v>
                </pt>
                <pt idx="68">
                  <v>0.170505</v>
                </pt>
                <pt idx="69">
                  <v>0.136923</v>
                </pt>
                <pt idx="70">
                  <v>0.152147</v>
                </pt>
                <pt idx="71">
                  <v>0.14056</v>
                </pt>
                <pt idx="72">
                  <v>0.147427</v>
                </pt>
                <pt idx="73">
                  <v>0.299228</v>
                </pt>
                <pt idx="74">
                  <v>0.166443</v>
                </pt>
                <pt idx="75">
                  <v>0.152445</v>
                </pt>
                <pt idx="76">
                  <v>0.156272</v>
                </pt>
                <pt idx="77">
                  <v>0.122175</v>
                </pt>
                <pt idx="78">
                  <v>0.13261</v>
                </pt>
                <pt idx="79">
                  <v>0.142087</v>
                </pt>
                <pt idx="80">
                  <v>0.133414</v>
                </pt>
                <pt idx="81">
                  <v>0.138843</v>
                </pt>
                <pt idx="82">
                  <v>0.137501</v>
                </pt>
                <pt idx="83">
                  <v>0.205369</v>
                </pt>
                <pt idx="84">
                  <v>0.140628</v>
                </pt>
                <pt idx="85">
                  <v>0.138814</v>
                </pt>
                <pt idx="86">
                  <v>0.157194</v>
                </pt>
                <pt idx="87">
                  <v>0.144328</v>
                </pt>
                <pt idx="88">
                  <v>0.127462</v>
                </pt>
                <pt idx="89">
                  <v>0.144527</v>
                </pt>
                <pt idx="90">
                  <v>0.130992</v>
                </pt>
                <pt idx="91">
                  <v>0.212879</v>
                </pt>
                <pt idx="92">
                  <v>0.135952</v>
                </pt>
                <pt idx="93">
                  <v>0.132745</v>
                </pt>
                <pt idx="94">
                  <v>0.179289</v>
                </pt>
                <pt idx="95">
                  <v>0.186664</v>
                </pt>
                <pt idx="96">
                  <v>0.167394</v>
                </pt>
                <pt idx="97">
                  <v>0.164691</v>
                </pt>
                <pt idx="98">
                  <v>0.137579</v>
                </pt>
                <pt idx="99">
                  <v>0.140023</v>
                </pt>
                <pt idx="100">
                  <v>0.157694</v>
                </pt>
                <pt idx="101">
                  <v>0.158784</v>
                </pt>
                <pt idx="102">
                  <v>0.150013</v>
                </pt>
                <pt idx="103">
                  <v>0.139325</v>
                </pt>
                <pt idx="104">
                  <v>0.12743</v>
                </pt>
                <pt idx="105">
                  <v>0.12291</v>
                </pt>
                <pt idx="106">
                  <v>0.125248</v>
                </pt>
                <pt idx="107">
                  <v>0.141662</v>
                </pt>
                <pt idx="108">
                  <v>0.150677</v>
                </pt>
                <pt idx="109">
                  <v>0.136615</v>
                </pt>
                <pt idx="110">
                  <v>0.134712</v>
                </pt>
                <pt idx="111">
                  <v>0.130631</v>
                </pt>
                <pt idx="112">
                  <v>0.118882</v>
                </pt>
                <pt idx="113">
                  <v>0.132369</v>
                </pt>
                <pt idx="114">
                  <v>0.12342</v>
                </pt>
                <pt idx="115">
                  <v>0.118648</v>
                </pt>
                <pt idx="116">
                  <v>0.131876</v>
                </pt>
                <pt idx="117">
                  <v>0.155697</v>
                </pt>
                <pt idx="118">
                  <v>0.123411</v>
                </pt>
                <pt idx="119">
                  <v>0.145695</v>
                </pt>
                <pt idx="120">
                  <v>0.120127</v>
                </pt>
                <pt idx="121">
                  <v>0.119329</v>
                </pt>
                <pt idx="122">
                  <v>0.120843</v>
                </pt>
                <pt idx="123">
                  <v>0.175985</v>
                </pt>
                <pt idx="124">
                  <v>0.11618</v>
                </pt>
                <pt idx="125">
                  <v>0.118161</v>
                </pt>
                <pt idx="126">
                  <v>0.129642</v>
                </pt>
                <pt idx="127">
                  <v>0.133593</v>
                </pt>
                <pt idx="128">
                  <v>0.123889</v>
                </pt>
                <pt idx="129">
                  <v>0.129958</v>
                </pt>
                <pt idx="130">
                  <v>0.119004</v>
                </pt>
                <pt idx="131">
                  <v>0.128435</v>
                </pt>
                <pt idx="132">
                  <v>0.118237</v>
                </pt>
                <pt idx="133">
                  <v>0.126599</v>
                </pt>
                <pt idx="134">
                  <v>0.157536</v>
                </pt>
                <pt idx="135">
                  <v>0.135807</v>
                </pt>
                <pt idx="136">
                  <v>0.121287</v>
                </pt>
                <pt idx="137">
                  <v>0.140946</v>
                </pt>
                <pt idx="138">
                  <v>0.133256</v>
                </pt>
                <pt idx="139">
                  <v>0.117724</v>
                </pt>
                <pt idx="140">
                  <v>0.11091</v>
                </pt>
                <pt idx="141">
                  <v>0.124584</v>
                </pt>
                <pt idx="142">
                  <v>0.120635</v>
                </pt>
                <pt idx="143">
                  <v>0.110373</v>
                </pt>
                <pt idx="144">
                  <v>0.116908</v>
                </pt>
                <pt idx="145">
                  <v>0.128106</v>
                </pt>
                <pt idx="146">
                  <v>0.130332</v>
                </pt>
                <pt idx="147">
                  <v>0.126696</v>
                </pt>
                <pt idx="148">
                  <v>0.132659</v>
                </pt>
                <pt idx="149">
                  <v>0.124035</v>
                </pt>
                <pt idx="150">
                  <v>0.120224</v>
                </pt>
                <pt idx="151">
                  <v>0.109767</v>
                </pt>
                <pt idx="152">
                  <v>0.126269</v>
                </pt>
                <pt idx="153">
                  <v>0.126612</v>
                </pt>
                <pt idx="154">
                  <v>0.13014</v>
                </pt>
                <pt idx="155">
                  <v>0.120265</v>
                </pt>
                <pt idx="156">
                  <v>0.120267</v>
                </pt>
                <pt idx="157">
                  <v>0.111278</v>
                </pt>
                <pt idx="158">
                  <v>0.118345</v>
                </pt>
                <pt idx="159">
                  <v>0.117602</v>
                </pt>
                <pt idx="160">
                  <v>0.11667</v>
                </pt>
                <pt idx="161">
                  <v>0.114515</v>
                </pt>
                <pt idx="162">
                  <v>0.116441</v>
                </pt>
                <pt idx="163">
                  <v>0.124651</v>
                </pt>
                <pt idx="164">
                  <v>0.109014</v>
                </pt>
                <pt idx="165">
                  <v>0.122933</v>
                </pt>
                <pt idx="166">
                  <v>0.105156</v>
                </pt>
                <pt idx="167">
                  <v>0.115171</v>
                </pt>
                <pt idx="168">
                  <v>0.115482</v>
                </pt>
                <pt idx="169">
                  <v>0.109707</v>
                </pt>
                <pt idx="170">
                  <v>0.129638</v>
                </pt>
                <pt idx="171">
                  <v>0.145531</v>
                </pt>
                <pt idx="172">
                  <v>0.129027</v>
                </pt>
                <pt idx="173">
                  <v>0.110146</v>
                </pt>
                <pt idx="174">
                  <v>0.122115</v>
                </pt>
                <pt idx="175">
                  <v>0.132587</v>
                </pt>
                <pt idx="176">
                  <v>0.132338</v>
                </pt>
                <pt idx="177">
                  <v>0.122533</v>
                </pt>
                <pt idx="178">
                  <v>0.115616</v>
                </pt>
                <pt idx="179">
                  <v>0.108713</v>
                </pt>
                <pt idx="180">
                  <v>0.125204</v>
                </pt>
                <pt idx="181">
                  <v>0.126307</v>
                </pt>
                <pt idx="182">
                  <v>0.108162</v>
                </pt>
                <pt idx="183">
                  <v>0.121592</v>
                </pt>
                <pt idx="184">
                  <v>0.122073</v>
                </pt>
                <pt idx="185">
                  <v>0.118868</v>
                </pt>
                <pt idx="186">
                  <v>0.107558</v>
                </pt>
                <pt idx="187">
                  <v>0.119708</v>
                </pt>
                <pt idx="188">
                  <v>0.108165</v>
                </pt>
                <pt idx="189">
                  <v>0.1132</v>
                </pt>
                <pt idx="190">
                  <v>0.10092</v>
                </pt>
                <pt idx="191">
                  <v>0.109905</v>
                </pt>
                <pt idx="192">
                  <v>0.104096</v>
                </pt>
                <pt idx="193">
                  <v>0.122775</v>
                </pt>
                <pt idx="194">
                  <v>0.139413</v>
                </pt>
                <pt idx="195">
                  <v>0.124793</v>
                </pt>
                <pt idx="196">
                  <v>0.126255</v>
                </pt>
                <pt idx="197">
                  <v>0.132809</v>
                </pt>
                <pt idx="198">
                  <v>0.123035</v>
                </pt>
                <pt idx="199">
                  <v>0.126027</v>
                </pt>
                <pt idx="200">
                  <v>0.121213</v>
                </pt>
                <pt idx="201">
                  <v>0.114646</v>
                </pt>
                <pt idx="202">
                  <v>0.10731</v>
                </pt>
                <pt idx="203">
                  <v>0.10771</v>
                </pt>
                <pt idx="204">
                  <v>0.108083</v>
                </pt>
                <pt idx="205">
                  <v>0.124079</v>
                </pt>
                <pt idx="206">
                  <v>0.10903</v>
                </pt>
                <pt idx="207">
                  <v>0.104523</v>
                </pt>
                <pt idx="208">
                  <v>0.119444</v>
                </pt>
                <pt idx="209">
                  <v>0.106297</v>
                </pt>
                <pt idx="210">
                  <v>0.108622</v>
                </pt>
                <pt idx="211">
                  <v>0.118167</v>
                </pt>
                <pt idx="212">
                  <v>0.130663</v>
                </pt>
                <pt idx="213">
                  <v>0.135502</v>
                </pt>
                <pt idx="214">
                  <v>0.103122</v>
                </pt>
                <pt idx="215">
                  <v>0.11057</v>
                </pt>
                <pt idx="216">
                  <v>0.097327</v>
                </pt>
                <pt idx="217">
                  <v>0.109274</v>
                </pt>
                <pt idx="218">
                  <v>0.116304</v>
                </pt>
                <pt idx="219">
                  <v>0.109146</v>
                </pt>
                <pt idx="220">
                  <v>0.143612</v>
                </pt>
                <pt idx="221">
                  <v>0.102712</v>
                </pt>
                <pt idx="222">
                  <v>0.105001</v>
                </pt>
                <pt idx="223">
                  <v>0.112613</v>
                </pt>
                <pt idx="224">
                  <v>0.109087</v>
                </pt>
                <pt idx="225">
                  <v>0.110329</v>
                </pt>
                <pt idx="226">
                  <v>0.106743</v>
                </pt>
                <pt idx="227">
                  <v>0.103837</v>
                </pt>
                <pt idx="228">
                  <v>0.108992</v>
                </pt>
                <pt idx="229">
                  <v>0.105077</v>
                </pt>
                <pt idx="230">
                  <v>0.099688</v>
                </pt>
                <pt idx="231">
                  <v>0.133988</v>
                </pt>
                <pt idx="232">
                  <v>0.09997300000000001</v>
                </pt>
                <pt idx="233">
                  <v>0.101651</v>
                </pt>
                <pt idx="234">
                  <v>0.110917</v>
                </pt>
                <pt idx="235">
                  <v>0.114888</v>
                </pt>
                <pt idx="236">
                  <v>0.109143</v>
                </pt>
                <pt idx="237">
                  <v>0.103316</v>
                </pt>
                <pt idx="238">
                  <v>0.102787</v>
                </pt>
                <pt idx="239">
                  <v>0.103815</v>
                </pt>
                <pt idx="240">
                  <v>0.109209</v>
                </pt>
                <pt idx="241">
                  <v>0.107886</v>
                </pt>
                <pt idx="242">
                  <v>0.110236</v>
                </pt>
                <pt idx="243">
                  <v>0.099616</v>
                </pt>
                <pt idx="244">
                  <v>0.098455</v>
                </pt>
                <pt idx="245">
                  <v>0.117052</v>
                </pt>
                <pt idx="246">
                  <v>0.111789</v>
                </pt>
                <pt idx="247">
                  <v>0.10174</v>
                </pt>
                <pt idx="248">
                  <v>0.105235</v>
                </pt>
                <pt idx="249">
                  <v>0.111787</v>
                </pt>
                <pt idx="250">
                  <v>0.106702</v>
                </pt>
                <pt idx="251">
                  <v>0.100204</v>
                </pt>
                <pt idx="252">
                  <v>0.09654699999999999</v>
                </pt>
                <pt idx="253">
                  <v>0.100373</v>
                </pt>
                <pt idx="254">
                  <v>0.100573</v>
                </pt>
                <pt idx="255">
                  <v>0.103935</v>
                </pt>
                <pt idx="256">
                  <v>0.096447</v>
                </pt>
                <pt idx="257">
                  <v>0.102093</v>
                </pt>
                <pt idx="258">
                  <v>0.096541</v>
                </pt>
                <pt idx="259">
                  <v>0.098957</v>
                </pt>
                <pt idx="260">
                  <v>0.101406</v>
                </pt>
                <pt idx="261">
                  <v>0.103085</v>
                </pt>
                <pt idx="262">
                  <v>0.100864</v>
                </pt>
                <pt idx="263">
                  <v>0.09945</v>
                </pt>
                <pt idx="264">
                  <v>0.117121</v>
                </pt>
                <pt idx="265">
                  <v>0.094901</v>
                </pt>
                <pt idx="266">
                  <v>0.11406</v>
                </pt>
                <pt idx="267">
                  <v>0.121677</v>
                </pt>
                <pt idx="268">
                  <v>0.115536</v>
                </pt>
                <pt idx="269">
                  <v>0.122035</v>
                </pt>
                <pt idx="270">
                  <v>0.102339</v>
                </pt>
                <pt idx="271">
                  <v>0.117971</v>
                </pt>
                <pt idx="272">
                  <v>0.103678</v>
                </pt>
                <pt idx="273">
                  <v>0.099519</v>
                </pt>
                <pt idx="274">
                  <v>0.096909</v>
                </pt>
                <pt idx="275">
                  <v>0.097899</v>
                </pt>
                <pt idx="276">
                  <v>0.099402</v>
                </pt>
                <pt idx="277">
                  <v>0.09866900000000001</v>
                </pt>
                <pt idx="278">
                  <v>0.111523</v>
                </pt>
                <pt idx="279">
                  <v>0.099699</v>
                </pt>
                <pt idx="280">
                  <v>0.100199</v>
                </pt>
                <pt idx="281">
                  <v>0.121422</v>
                </pt>
                <pt idx="282">
                  <v>0.098426</v>
                </pt>
                <pt idx="283">
                  <v>0.09574199999999999</v>
                </pt>
                <pt idx="284">
                  <v>0.103841</v>
                </pt>
                <pt idx="285">
                  <v>0.097289</v>
                </pt>
                <pt idx="286">
                  <v>0.104011</v>
                </pt>
                <pt idx="287">
                  <v>0.107471</v>
                </pt>
                <pt idx="288">
                  <v>0.095974</v>
                </pt>
                <pt idx="289">
                  <v>0.104232</v>
                </pt>
                <pt idx="290">
                  <v>0.09103899999999999</v>
                </pt>
                <pt idx="291">
                  <v>0.099699</v>
                </pt>
                <pt idx="292">
                  <v>0.105997</v>
                </pt>
                <pt idx="293">
                  <v>0.105607</v>
                </pt>
                <pt idx="294">
                  <v>0.09697500000000001</v>
                </pt>
                <pt idx="295">
                  <v>0.109889</v>
                </pt>
                <pt idx="296">
                  <v>0.09668300000000001</v>
                </pt>
                <pt idx="297">
                  <v>0.093651</v>
                </pt>
                <pt idx="298">
                  <v>0.09975000000000001</v>
                </pt>
                <pt idx="299">
                  <v>0.093832</v>
                </pt>
                <pt idx="300">
                  <v>0.101298</v>
                </pt>
                <pt idx="301">
                  <v>0.09067799999999999</v>
                </pt>
                <pt idx="302">
                  <v>0.095483</v>
                </pt>
                <pt idx="303">
                  <v>0.099497</v>
                </pt>
                <pt idx="304">
                  <v>0.093184</v>
                </pt>
                <pt idx="305">
                  <v>0.097147</v>
                </pt>
                <pt idx="306">
                  <v>0.098288</v>
                </pt>
                <pt idx="307">
                  <v>0.111322</v>
                </pt>
                <pt idx="308">
                  <v>0.10634</v>
                </pt>
                <pt idx="309">
                  <v>0.117613</v>
                </pt>
                <pt idx="310">
                  <v>0.09624199999999999</v>
                </pt>
                <pt idx="311">
                  <v>0.11416</v>
                </pt>
                <pt idx="312">
                  <v>0.115183</v>
                </pt>
                <pt idx="313">
                  <v>0.089702</v>
                </pt>
                <pt idx="314">
                  <v>0.104474</v>
                </pt>
                <pt idx="315">
                  <v>0.097107</v>
                </pt>
                <pt idx="316">
                  <v>0.095572</v>
                </pt>
                <pt idx="317">
                  <v>0.099124</v>
                </pt>
                <pt idx="318">
                  <v>0.094944</v>
                </pt>
                <pt idx="319">
                  <v>0.095792</v>
                </pt>
                <pt idx="320">
                  <v>0.093039</v>
                </pt>
                <pt idx="321">
                  <v>0.106296</v>
                </pt>
                <pt idx="322">
                  <v>0.09213200000000001</v>
                </pt>
                <pt idx="323">
                  <v>0.090284</v>
                </pt>
                <pt idx="324">
                  <v>0.10045</v>
                </pt>
                <pt idx="325">
                  <v>0.09676</v>
                </pt>
                <pt idx="326">
                  <v>0.094707</v>
                </pt>
                <pt idx="327">
                  <v>0.092237</v>
                </pt>
                <pt idx="328">
                  <v>0.091293</v>
                </pt>
                <pt idx="329">
                  <v>0.100731</v>
                </pt>
                <pt idx="330">
                  <v>0.095212</v>
                </pt>
                <pt idx="331">
                  <v>0.101063</v>
                </pt>
                <pt idx="332">
                  <v>0.090403</v>
                </pt>
                <pt idx="333">
                  <v>0.09023399999999999</v>
                </pt>
                <pt idx="334">
                  <v>0.08841</v>
                </pt>
                <pt idx="335">
                  <v>0.100002</v>
                </pt>
                <pt idx="336">
                  <v>0.089911</v>
                </pt>
                <pt idx="337">
                  <v>0.09067799999999999</v>
                </pt>
                <pt idx="338">
                  <v>0.094278</v>
                </pt>
                <pt idx="339">
                  <v>0.093519</v>
                </pt>
                <pt idx="340">
                  <v>0.103705</v>
                </pt>
                <pt idx="341">
                  <v>0.091625</v>
                </pt>
                <pt idx="342">
                  <v>0.109121</v>
                </pt>
                <pt idx="343">
                  <v>0.09515700000000001</v>
                </pt>
                <pt idx="344">
                  <v>0.098886</v>
                </pt>
                <pt idx="345">
                  <v>0.090165</v>
                </pt>
                <pt idx="346">
                  <v>0.09289600000000001</v>
                </pt>
                <pt idx="347">
                  <v>0.09526900000000001</v>
                </pt>
                <pt idx="348">
                  <v>0.09016200000000001</v>
                </pt>
                <pt idx="349">
                  <v>0.095084</v>
                </pt>
                <pt idx="350">
                  <v>0.089725</v>
                </pt>
                <pt idx="351">
                  <v>0.090117</v>
                </pt>
                <pt idx="352">
                  <v>0.092505</v>
                </pt>
                <pt idx="353">
                  <v>0.09969699999999999</v>
                </pt>
                <pt idx="354">
                  <v>0.090118</v>
                </pt>
                <pt idx="355">
                  <v>0.093477</v>
                </pt>
                <pt idx="356">
                  <v>0.08884400000000001</v>
                </pt>
                <pt idx="357">
                  <v>0.087979</v>
                </pt>
                <pt idx="358">
                  <v>0.13163</v>
                </pt>
                <pt idx="359">
                  <v>0.090723</v>
                </pt>
                <pt idx="360">
                  <v>0.086739</v>
                </pt>
                <pt idx="361">
                  <v>0.098658</v>
                </pt>
                <pt idx="362">
                  <v>0.08745799999999999</v>
                </pt>
                <pt idx="363">
                  <v>0.09808799999999999</v>
                </pt>
                <pt idx="364">
                  <v>0.1039</v>
                </pt>
                <pt idx="365">
                  <v>0.085811</v>
                </pt>
                <pt idx="366">
                  <v>0.099242</v>
                </pt>
                <pt idx="367">
                  <v>0.09303400000000001</v>
                </pt>
                <pt idx="368">
                  <v>0.100361</v>
                </pt>
                <pt idx="369">
                  <v>0.092559</v>
                </pt>
                <pt idx="370">
                  <v>0.08863799999999999</v>
                </pt>
                <pt idx="371">
                  <v>0.09547899999999999</v>
                </pt>
                <pt idx="372">
                  <v>0.103459</v>
                </pt>
                <pt idx="373">
                  <v>0.109539</v>
                </pt>
                <pt idx="374">
                  <v>0.09911300000000001</v>
                </pt>
                <pt idx="375">
                  <v>0.08658299999999999</v>
                </pt>
                <pt idx="376">
                  <v>0.092555</v>
                </pt>
                <pt idx="377">
                  <v>0.092262</v>
                </pt>
                <pt idx="378">
                  <v>0.087711</v>
                </pt>
                <pt idx="379">
                  <v>0.098234</v>
                </pt>
                <pt idx="380">
                  <v>0.0977</v>
                </pt>
                <pt idx="381">
                  <v>0.091167</v>
                </pt>
                <pt idx="382">
                  <v>0.099965</v>
                </pt>
                <pt idx="383">
                  <v>0.09628</v>
                </pt>
                <pt idx="384">
                  <v>0.08837299999999999</v>
                </pt>
                <pt idx="385">
                  <v>0.086775</v>
                </pt>
                <pt idx="386">
                  <v>0.096362</v>
                </pt>
                <pt idx="387">
                  <v>0.08688700000000001</v>
                </pt>
                <pt idx="388">
                  <v>0.090186</v>
                </pt>
                <pt idx="389">
                  <v>0.09068900000000001</v>
                </pt>
                <pt idx="390">
                  <v>0.08591</v>
                </pt>
                <pt idx="391">
                  <v>0.08934</v>
                </pt>
                <pt idx="392">
                  <v>0.102534</v>
                </pt>
                <pt idx="393">
                  <v>0.08492</v>
                </pt>
                <pt idx="394">
                  <v>0.093043</v>
                </pt>
                <pt idx="395">
                  <v>0.088196</v>
                </pt>
                <pt idx="396">
                  <v>0.08971999999999999</v>
                </pt>
                <pt idx="397">
                  <v>0.08526599999999999</v>
                </pt>
                <pt idx="398">
                  <v>0.091345</v>
                </pt>
                <pt idx="399">
                  <v>0.122508</v>
                </pt>
                <pt idx="400">
                  <v>0.089075</v>
                </pt>
                <pt idx="401">
                  <v>0.09048100000000001</v>
                </pt>
                <pt idx="402">
                  <v>0.089837</v>
                </pt>
                <pt idx="403">
                  <v>0.08626499999999999</v>
                </pt>
                <pt idx="404">
                  <v>0.090527</v>
                </pt>
                <pt idx="405">
                  <v>0.09045599999999999</v>
                </pt>
                <pt idx="406">
                  <v>0.08852</v>
                </pt>
                <pt idx="407">
                  <v>0.088911</v>
                </pt>
                <pt idx="408">
                  <v>0.09252199999999999</v>
                </pt>
                <pt idx="409">
                  <v>0.08776399999999999</v>
                </pt>
                <pt idx="410">
                  <v>0.08905399999999999</v>
                </pt>
                <pt idx="411">
                  <v>0.085034</v>
                </pt>
                <pt idx="412">
                  <v>0.08902</v>
                </pt>
                <pt idx="413">
                  <v>0.082354</v>
                </pt>
                <pt idx="414">
                  <v>0.08628</v>
                </pt>
                <pt idx="415">
                  <v>0.090796</v>
                </pt>
                <pt idx="416">
                  <v>0.091007</v>
                </pt>
                <pt idx="417">
                  <v>0.087141</v>
                </pt>
                <pt idx="418">
                  <v>0.08928899999999999</v>
                </pt>
                <pt idx="419">
                  <v>0.09354999999999999</v>
                </pt>
                <pt idx="420">
                  <v>0.08420900000000001</v>
                </pt>
                <pt idx="421">
                  <v>0.087897</v>
                </pt>
                <pt idx="422">
                  <v>0.09381100000000001</v>
                </pt>
                <pt idx="423">
                  <v>0.08430600000000001</v>
                </pt>
                <pt idx="424">
                  <v>0.086594</v>
                </pt>
                <pt idx="425">
                  <v>0.084159</v>
                </pt>
                <pt idx="426">
                  <v>0.084733</v>
                </pt>
                <pt idx="427">
                  <v>0.084083</v>
                </pt>
                <pt idx="428">
                  <v>0.089542</v>
                </pt>
                <pt idx="429">
                  <v>0.089173</v>
                </pt>
                <pt idx="430">
                  <v>0.093376</v>
                </pt>
                <pt idx="431">
                  <v>0.086852</v>
                </pt>
                <pt idx="432">
                  <v>0.0832</v>
                </pt>
                <pt idx="433">
                  <v>0.085104</v>
                </pt>
                <pt idx="434">
                  <v>0.09171799999999999</v>
                </pt>
                <pt idx="435">
                  <v>0.09454799999999999</v>
                </pt>
                <pt idx="436">
                  <v>0.082744</v>
                </pt>
                <pt idx="437">
                  <v>0.08533300000000001</v>
                </pt>
                <pt idx="438">
                  <v>0.079905</v>
                </pt>
                <pt idx="439">
                  <v>0.089701</v>
                </pt>
                <pt idx="440">
                  <v>0.086266</v>
                </pt>
                <pt idx="441">
                  <v>0.083772</v>
                </pt>
                <pt idx="442">
                  <v>0.08483400000000001</v>
                </pt>
                <pt idx="443">
                  <v>0.08839900000000001</v>
                </pt>
                <pt idx="444">
                  <v>0.08573600000000001</v>
                </pt>
                <pt idx="445">
                  <v>0.082913</v>
                </pt>
                <pt idx="446">
                  <v>0.087617</v>
                </pt>
                <pt idx="447">
                  <v>0.08214299999999999</v>
                </pt>
                <pt idx="448">
                  <v>0.08022700000000001</v>
                </pt>
                <pt idx="449">
                  <v>0.091554</v>
                </pt>
                <pt idx="450">
                  <v>0.084869</v>
                </pt>
                <pt idx="451">
                  <v>0.088167</v>
                </pt>
                <pt idx="452">
                  <v>0.08348999999999999</v>
                </pt>
                <pt idx="453">
                  <v>0.089117</v>
                </pt>
                <pt idx="454">
                  <v>0.091236</v>
                </pt>
                <pt idx="455">
                  <v>0.082769</v>
                </pt>
                <pt idx="456">
                  <v>0.087767</v>
                </pt>
                <pt idx="457">
                  <v>0.08340400000000001</v>
                </pt>
                <pt idx="458">
                  <v>0.08759400000000001</v>
                </pt>
                <pt idx="459">
                  <v>0.081204</v>
                </pt>
                <pt idx="460">
                  <v>0.083078</v>
                </pt>
                <pt idx="461">
                  <v>0.08336200000000001</v>
                </pt>
                <pt idx="462">
                  <v>0.08155800000000001</v>
                </pt>
                <pt idx="463">
                  <v>0.08427900000000001</v>
                </pt>
                <pt idx="464">
                  <v>0.08371000000000001</v>
                </pt>
                <pt idx="465">
                  <v>0.080988</v>
                </pt>
                <pt idx="466">
                  <v>0.08459899999999999</v>
                </pt>
                <pt idx="467">
                  <v>0.082855</v>
                </pt>
                <pt idx="468">
                  <v>0.084327</v>
                </pt>
                <pt idx="469">
                  <v>0.081223</v>
                </pt>
                <pt idx="470">
                  <v>0.092302</v>
                </pt>
                <pt idx="471">
                  <v>0.084619</v>
                </pt>
                <pt idx="472">
                  <v>0.079971</v>
                </pt>
                <pt idx="473">
                  <v>0.093043</v>
                </pt>
                <pt idx="474">
                  <v>0.085856</v>
                </pt>
                <pt idx="475">
                  <v>0.080081</v>
                </pt>
                <pt idx="476">
                  <v>0.081736</v>
                </pt>
                <pt idx="477">
                  <v>0.092345</v>
                </pt>
                <pt idx="478">
                  <v>0.082791</v>
                </pt>
                <pt idx="479">
                  <v>0.079967</v>
                </pt>
                <pt idx="480">
                  <v>0.082624</v>
                </pt>
                <pt idx="481">
                  <v>0.082527</v>
                </pt>
                <pt idx="482">
                  <v>0.080002</v>
                </pt>
                <pt idx="483">
                  <v>0.086225</v>
                </pt>
                <pt idx="484">
                  <v>0.08509700000000001</v>
                </pt>
                <pt idx="485">
                  <v>0.08552999999999999</v>
                </pt>
                <pt idx="486">
                  <v>0.08515</v>
                </pt>
                <pt idx="487">
                  <v>0.08307</v>
                </pt>
                <pt idx="488">
                  <v>0.081258</v>
                </pt>
                <pt idx="489">
                  <v>0.090438</v>
                </pt>
                <pt idx="490">
                  <v>0.083977</v>
                </pt>
                <pt idx="491">
                  <v>0.08232100000000001</v>
                </pt>
                <pt idx="492">
                  <v>0.083356</v>
                </pt>
                <pt idx="493">
                  <v>0.081372</v>
                </pt>
                <pt idx="494">
                  <v>0.092596</v>
                </pt>
                <pt idx="495">
                  <v>0.079142</v>
                </pt>
                <pt idx="496">
                  <v>0.084707</v>
                </pt>
                <pt idx="497">
                  <v>0.080919</v>
                </pt>
                <pt idx="498">
                  <v>0.083009</v>
                </pt>
                <pt idx="499">
                  <v>0.079073</v>
                </pt>
                <pt idx="500">
                  <v>0.081233</v>
                </pt>
                <pt idx="501">
                  <v>0.084092</v>
                </pt>
                <pt idx="502">
                  <v>0.079383</v>
                </pt>
                <pt idx="503">
                  <v>0.079147</v>
                </pt>
                <pt idx="504">
                  <v>0.082012</v>
                </pt>
                <pt idx="505">
                  <v>0.07871</v>
                </pt>
                <pt idx="506">
                  <v>0.080164</v>
                </pt>
                <pt idx="507">
                  <v>0.081319</v>
                </pt>
                <pt idx="508">
                  <v>0.07803499999999999</v>
                </pt>
                <pt idx="509">
                  <v>0.08484999999999999</v>
                </pt>
                <pt idx="510">
                  <v>0.08060100000000001</v>
                </pt>
                <pt idx="511">
                  <v>0.081673</v>
                </pt>
                <pt idx="512">
                  <v>0.081141</v>
                </pt>
                <pt idx="513">
                  <v>0.07888100000000001</v>
                </pt>
                <pt idx="514">
                  <v>0.07881100000000001</v>
                </pt>
                <pt idx="515">
                  <v>0.082886</v>
                </pt>
                <pt idx="516">
                  <v>0.077565</v>
                </pt>
                <pt idx="517">
                  <v>0.086836</v>
                </pt>
                <pt idx="518">
                  <v>0.08208600000000001</v>
                </pt>
                <pt idx="519">
                  <v>0.08688700000000001</v>
                </pt>
                <pt idx="520">
                  <v>0.078763</v>
                </pt>
                <pt idx="521">
                  <v>0.07854700000000001</v>
                </pt>
                <pt idx="522">
                  <v>0.079872</v>
                </pt>
                <pt idx="523">
                  <v>0.07867300000000001</v>
                </pt>
                <pt idx="524">
                  <v>0.077526</v>
                </pt>
                <pt idx="525">
                  <v>0.081038</v>
                </pt>
                <pt idx="526">
                  <v>0.082076</v>
                </pt>
                <pt idx="527">
                  <v>0.079127</v>
                </pt>
                <pt idx="528">
                  <v>0.080849</v>
                </pt>
                <pt idx="529">
                  <v>0.084393</v>
                </pt>
                <pt idx="530">
                  <v>0.083342</v>
                </pt>
                <pt idx="531">
                  <v>0.079026</v>
                </pt>
                <pt idx="532">
                  <v>0.079388</v>
                </pt>
                <pt idx="533">
                  <v>0.07824</v>
                </pt>
                <pt idx="534">
                  <v>0.07892200000000001</v>
                </pt>
                <pt idx="535">
                  <v>0.07789600000000001</v>
                </pt>
                <pt idx="536">
                  <v>0.078846</v>
                </pt>
                <pt idx="537">
                  <v>0.07854700000000001</v>
                </pt>
                <pt idx="538">
                  <v>0.07861799999999999</v>
                </pt>
                <pt idx="539">
                  <v>0.078656</v>
                </pt>
                <pt idx="540">
                  <v>0.07870199999999999</v>
                </pt>
                <pt idx="541">
                  <v>0.08335099999999999</v>
                </pt>
                <pt idx="542">
                  <v>0.079583</v>
                </pt>
                <pt idx="543">
                  <v>0.07817399999999999</v>
                </pt>
                <pt idx="544">
                  <v>0.07800700000000001</v>
                </pt>
                <pt idx="545">
                  <v>0.07834000000000001</v>
                </pt>
                <pt idx="546">
                  <v>0.07745100000000001</v>
                </pt>
                <pt idx="547">
                  <v>0.083916</v>
                </pt>
                <pt idx="548">
                  <v>0.08201600000000001</v>
                </pt>
                <pt idx="549">
                  <v>0.077628</v>
                </pt>
                <pt idx="550">
                  <v>0.077816</v>
                </pt>
                <pt idx="551">
                  <v>0.081495</v>
                </pt>
                <pt idx="552">
                  <v>0.077752</v>
                </pt>
                <pt idx="553">
                  <v>0.07749499999999999</v>
                </pt>
                <pt idx="554">
                  <v>0.08254599999999999</v>
                </pt>
                <pt idx="555">
                  <v>0.077528</v>
                </pt>
                <pt idx="556">
                  <v>0.082384</v>
                </pt>
                <pt idx="557">
                  <v>0.08035</v>
                </pt>
                <pt idx="558">
                  <v>0.076707</v>
                </pt>
                <pt idx="559">
                  <v>0.079609</v>
                </pt>
                <pt idx="560">
                  <v>0.076904</v>
                </pt>
                <pt idx="561">
                  <v>0.07868</v>
                </pt>
                <pt idx="562">
                  <v>0.076534</v>
                </pt>
                <pt idx="563">
                  <v>0.07839599999999999</v>
                </pt>
                <pt idx="564">
                  <v>0.077154</v>
                </pt>
                <pt idx="565">
                  <v>0.07782</v>
                </pt>
                <pt idx="566">
                  <v>0.075946</v>
                </pt>
                <pt idx="567">
                  <v>0.07617500000000001</v>
                </pt>
                <pt idx="568">
                  <v>0.078471</v>
                </pt>
                <pt idx="569">
                  <v>0.07668800000000001</v>
                </pt>
                <pt idx="570">
                  <v>0.07673000000000001</v>
                </pt>
                <pt idx="571">
                  <v>0.07945099999999999</v>
                </pt>
                <pt idx="572">
                  <v>0.07589799999999999</v>
                </pt>
                <pt idx="573">
                  <v>0.07752000000000001</v>
                </pt>
                <pt idx="574">
                  <v>0.077033</v>
                </pt>
                <pt idx="575">
                  <v>0.08142199999999999</v>
                </pt>
                <pt idx="576">
                  <v>0.07660599999999999</v>
                </pt>
                <pt idx="577">
                  <v>0.07634000000000001</v>
                </pt>
                <pt idx="578">
                  <v>0.080668</v>
                </pt>
                <pt idx="579">
                  <v>0.07692499999999999</v>
                </pt>
                <pt idx="580">
                  <v>0.075557</v>
                </pt>
                <pt idx="581">
                  <v>0.078295</v>
                </pt>
                <pt idx="582">
                  <v>0.082093</v>
                </pt>
                <pt idx="583">
                  <v>0.07636800000000001</v>
                </pt>
                <pt idx="584">
                  <v>0.083456</v>
                </pt>
                <pt idx="585">
                  <v>0.07714799999999999</v>
                </pt>
                <pt idx="586">
                  <v>0.076584</v>
                </pt>
                <pt idx="587">
                  <v>0.076824</v>
                </pt>
                <pt idx="588">
                  <v>0.075451</v>
                </pt>
                <pt idx="589">
                  <v>0.07566100000000001</v>
                </pt>
                <pt idx="590">
                  <v>0.078509</v>
                </pt>
                <pt idx="591">
                  <v>0.077725</v>
                </pt>
                <pt idx="592">
                  <v>0.075433</v>
                </pt>
                <pt idx="593">
                  <v>0.079669</v>
                </pt>
                <pt idx="594">
                  <v>0.076062</v>
                </pt>
                <pt idx="595">
                  <v>0.077179</v>
                </pt>
                <pt idx="596">
                  <v>0.077432</v>
                </pt>
                <pt idx="597">
                  <v>0.07555000000000001</v>
                </pt>
                <pt idx="598">
                  <v>0.075963</v>
                </pt>
                <pt idx="599">
                  <v>0.076128</v>
                </pt>
                <pt idx="600">
                  <v>0.07506699999999999</v>
                </pt>
                <pt idx="601">
                  <v>0.075862</v>
                </pt>
                <pt idx="602">
                  <v>0.076973</v>
                </pt>
                <pt idx="603">
                  <v>0.08071</v>
                </pt>
                <pt idx="604">
                  <v>0.081764</v>
                </pt>
                <pt idx="605">
                  <v>0.07568800000000001</v>
                </pt>
                <pt idx="606">
                  <v>0.075876</v>
                </pt>
                <pt idx="607">
                  <v>0.075068</v>
                </pt>
                <pt idx="608">
                  <v>0.077209</v>
                </pt>
                <pt idx="609">
                  <v>0.075554</v>
                </pt>
                <pt idx="610">
                  <v>0.07466100000000001</v>
                </pt>
                <pt idx="611">
                  <v>0.076681</v>
                </pt>
                <pt idx="612">
                  <v>0.07493900000000001</v>
                </pt>
                <pt idx="613">
                  <v>0.075568</v>
                </pt>
                <pt idx="614">
                  <v>0.07500999999999999</v>
                </pt>
                <pt idx="615">
                  <v>0.07462299999999999</v>
                </pt>
                <pt idx="616">
                  <v>0.074293</v>
                </pt>
                <pt idx="617">
                  <v>0.074558</v>
                </pt>
                <pt idx="618">
                  <v>0.07682799999999999</v>
                </pt>
                <pt idx="619">
                  <v>0.07493900000000001</v>
                </pt>
                <pt idx="620">
                  <v>0.075768</v>
                </pt>
                <pt idx="621">
                  <v>0.075003</v>
                </pt>
                <pt idx="622">
                  <v>0.07428700000000001</v>
                </pt>
                <pt idx="623">
                  <v>0.075208</v>
                </pt>
                <pt idx="624">
                  <v>0.073106</v>
                </pt>
                <pt idx="625">
                  <v>0.07518900000000001</v>
                </pt>
                <pt idx="626">
                  <v>0.075445</v>
                </pt>
                <pt idx="627">
                  <v>0.07693899999999999</v>
                </pt>
                <pt idx="628">
                  <v>0.078787</v>
                </pt>
                <pt idx="629">
                  <v>0.075639</v>
                </pt>
                <pt idx="630">
                  <v>0.073904</v>
                </pt>
                <pt idx="631">
                  <v>0.073854</v>
                </pt>
                <pt idx="632">
                  <v>0.074655</v>
                </pt>
                <pt idx="633">
                  <v>0.07639700000000001</v>
                </pt>
                <pt idx="634">
                  <v>0.07667499999999999</v>
                </pt>
                <pt idx="635">
                  <v>0.07648199999999999</v>
                </pt>
                <pt idx="636">
                  <v>0.074424</v>
                </pt>
                <pt idx="637">
                  <v>0.079164</v>
                </pt>
                <pt idx="638">
                  <v>0.076656</v>
                </pt>
                <pt idx="639">
                  <v>0.073855</v>
                </pt>
                <pt idx="640">
                  <v>0.074876</v>
                </pt>
                <pt idx="641">
                  <v>0.075238</v>
                </pt>
                <pt idx="642">
                  <v>0.074157</v>
                </pt>
                <pt idx="643">
                  <v>0.073823</v>
                </pt>
                <pt idx="644">
                  <v>0.074707</v>
                </pt>
                <pt idx="645">
                  <v>0.074534</v>
                </pt>
                <pt idx="646">
                  <v>0.075085</v>
                </pt>
                <pt idx="647">
                  <v>0.074668</v>
                </pt>
                <pt idx="648">
                  <v>0.074562</v>
                </pt>
                <pt idx="649">
                  <v>0.07595300000000001</v>
                </pt>
                <pt idx="650">
                  <v>0.07474600000000001</v>
                </pt>
                <pt idx="651">
                  <v>0.073546</v>
                </pt>
                <pt idx="652">
                  <v>0.074908</v>
                </pt>
                <pt idx="653">
                  <v>0.07445</v>
                </pt>
                <pt idx="654">
                  <v>0.075987</v>
                </pt>
                <pt idx="655">
                  <v>0.073717</v>
                </pt>
                <pt idx="656">
                  <v>0.073888</v>
                </pt>
                <pt idx="657">
                  <v>0.074072</v>
                </pt>
                <pt idx="658">
                  <v>0.073278</v>
                </pt>
                <pt idx="659">
                  <v>0.07337399999999999</v>
                </pt>
                <pt idx="660">
                  <v>0.07488499999999999</v>
                </pt>
                <pt idx="661">
                  <v>0.073978</v>
                </pt>
                <pt idx="662">
                  <v>0.073028</v>
                </pt>
                <pt idx="663">
                  <v>0.073745</v>
                </pt>
                <pt idx="664">
                  <v>0.074169</v>
                </pt>
                <pt idx="665">
                  <v>0.075498</v>
                </pt>
                <pt idx="666">
                  <v>0.073148</v>
                </pt>
                <pt idx="667">
                  <v>0.08096399999999999</v>
                </pt>
                <pt idx="668">
                  <v>0.073446</v>
                </pt>
                <pt idx="669">
                  <v>0.074846</v>
                </pt>
                <pt idx="670">
                  <v>0.07410799999999999</v>
                </pt>
                <pt idx="671">
                  <v>0.07345400000000001</v>
                </pt>
                <pt idx="672">
                  <v>0.07344299999999999</v>
                </pt>
                <pt idx="673">
                  <v>0.072864</v>
                </pt>
                <pt idx="674">
                  <v>0.073129</v>
                </pt>
                <pt idx="675">
                  <v>0.073057</v>
                </pt>
                <pt idx="676">
                  <v>0.072973</v>
                </pt>
                <pt idx="677">
                  <v>0.075251</v>
                </pt>
                <pt idx="678">
                  <v>0.072894</v>
                </pt>
                <pt idx="679">
                  <v>0.074015</v>
                </pt>
                <pt idx="680">
                  <v>0.073541</v>
                </pt>
                <pt idx="681">
                  <v>0.073972</v>
                </pt>
                <pt idx="682">
                  <v>0.073199</v>
                </pt>
                <pt idx="683">
                  <v>0.073819</v>
                </pt>
                <pt idx="684">
                  <v>0.073535</v>
                </pt>
                <pt idx="685">
                  <v>0.074644</v>
                </pt>
                <pt idx="686">
                  <v>0.073742</v>
                </pt>
                <pt idx="687">
                  <v>0.072756</v>
                </pt>
                <pt idx="688">
                  <v>0.074832</v>
                </pt>
                <pt idx="689">
                  <v>0.072897</v>
                </pt>
                <pt idx="690">
                  <v>0.073334</v>
                </pt>
                <pt idx="691">
                  <v>0.07362299999999999</v>
                </pt>
                <pt idx="692">
                  <v>0.073618</v>
                </pt>
                <pt idx="693">
                  <v>0.072924</v>
                </pt>
                <pt idx="694">
                  <v>0.074193</v>
                </pt>
                <pt idx="695">
                  <v>0.07262</v>
                </pt>
                <pt idx="696">
                  <v>0.07291300000000001</v>
                </pt>
                <pt idx="697">
                  <v>0.07406500000000001</v>
                </pt>
                <pt idx="698">
                  <v>0.073208</v>
                </pt>
                <pt idx="699">
                  <v>0.074557</v>
                </pt>
                <pt idx="700">
                  <v>0.073334</v>
                </pt>
                <pt idx="701">
                  <v>0.07364900000000001</v>
                </pt>
                <pt idx="702">
                  <v>0.072967</v>
                </pt>
                <pt idx="703">
                  <v>0.07374699999999999</v>
                </pt>
                <pt idx="704">
                  <v>0.07378899999999999</v>
                </pt>
                <pt idx="705">
                  <v>0.072842</v>
                </pt>
                <pt idx="706">
                  <v>0.073256</v>
                </pt>
                <pt idx="707">
                  <v>0.072629</v>
                </pt>
                <pt idx="708">
                  <v>0.073047</v>
                </pt>
                <pt idx="709">
                  <v>0.07277400000000001</v>
                </pt>
                <pt idx="710">
                  <v>0.072898</v>
                </pt>
                <pt idx="711">
                  <v>0.071933</v>
                </pt>
                <pt idx="712">
                  <v>0.072119</v>
                </pt>
                <pt idx="713">
                  <v>0.072837</v>
                </pt>
                <pt idx="714">
                  <v>0.07306600000000001</v>
                </pt>
                <pt idx="715">
                  <v>0.07259</v>
                </pt>
                <pt idx="716">
                  <v>0.07251000000000001</v>
                </pt>
                <pt idx="717">
                  <v>0.072655</v>
                </pt>
                <pt idx="718">
                  <v>0.073407</v>
                </pt>
                <pt idx="719">
                  <v>0.072557</v>
                </pt>
                <pt idx="720">
                  <v>0.07280300000000001</v>
                </pt>
                <pt idx="721">
                  <v>0.072945</v>
                </pt>
                <pt idx="722">
                  <v>0.07294200000000001</v>
                </pt>
                <pt idx="723">
                  <v>0.072668</v>
                </pt>
                <pt idx="724">
                  <v>0.07226</v>
                </pt>
                <pt idx="725">
                  <v>0.072591</v>
                </pt>
                <pt idx="726">
                  <v>0.072669</v>
                </pt>
                <pt idx="727">
                  <v>0.072549</v>
                </pt>
                <pt idx="728">
                  <v>0.073392</v>
                </pt>
                <pt idx="729">
                  <v>0.072531</v>
                </pt>
                <pt idx="730">
                  <v>0.073244</v>
                </pt>
                <pt idx="731">
                  <v>0.07262299999999999</v>
                </pt>
                <pt idx="732">
                  <v>0.07288</v>
                </pt>
                <pt idx="733">
                  <v>0.072544</v>
                </pt>
                <pt idx="734">
                  <v>0.07215000000000001</v>
                </pt>
                <pt idx="735">
                  <v>0.07220799999999999</v>
                </pt>
                <pt idx="736">
                  <v>0.07230399999999999</v>
                </pt>
                <pt idx="737">
                  <v>0.075074</v>
                </pt>
                <pt idx="738">
                  <v>0.072505</v>
                </pt>
                <pt idx="739">
                  <v>0.07287399999999999</v>
                </pt>
                <pt idx="740">
                  <v>0.07273499999999999</v>
                </pt>
                <pt idx="741">
                  <v>0.07288</v>
                </pt>
                <pt idx="742">
                  <v>0.07226299999999999</v>
                </pt>
                <pt idx="743">
                  <v>0.07241400000000001</v>
                </pt>
                <pt idx="744">
                  <v>0.072644</v>
                </pt>
                <pt idx="745">
                  <v>0.07194200000000001</v>
                </pt>
                <pt idx="746">
                  <v>0.07339900000000001</v>
                </pt>
                <pt idx="747">
                  <v>0.072102</v>
                </pt>
                <pt idx="748">
                  <v>0.07273499999999999</v>
                </pt>
                <pt idx="749">
                  <v>0.07248400000000001</v>
                </pt>
                <pt idx="750">
                  <v>0.072491</v>
                </pt>
                <pt idx="751">
                  <v>0.07223300000000001</v>
                </pt>
                <pt idx="752">
                  <v>0.072463</v>
                </pt>
                <pt idx="753">
                  <v>0.07238799999999999</v>
                </pt>
                <pt idx="754">
                  <v>0.072154</v>
                </pt>
                <pt idx="755">
                  <v>0.071976</v>
                </pt>
                <pt idx="756">
                  <v>0.071885</v>
                </pt>
                <pt idx="757">
                  <v>0.07242999999999999</v>
                </pt>
                <pt idx="758">
                  <v>0.07284499999999999</v>
                </pt>
                <pt idx="759">
                  <v>0.07170700000000001</v>
                </pt>
                <pt idx="760">
                  <v>0.072127</v>
                </pt>
                <pt idx="761">
                  <v>0.072255</v>
                </pt>
                <pt idx="762">
                  <v>0.07221</v>
                </pt>
                <pt idx="763">
                  <v>0.07242700000000001</v>
                </pt>
                <pt idx="764">
                  <v>0.071723</v>
                </pt>
                <pt idx="765">
                  <v>0.072115</v>
                </pt>
                <pt idx="766">
                  <v>0.072315</v>
                </pt>
                <pt idx="767">
                  <v>0.07209</v>
                </pt>
                <pt idx="768">
                  <v>0.07252699999999999</v>
                </pt>
                <pt idx="769">
                  <v>0.072463</v>
                </pt>
                <pt idx="770">
                  <v>0.07298200000000001</v>
                </pt>
                <pt idx="771">
                  <v>0.071967</v>
                </pt>
                <pt idx="772">
                  <v>0.07177</v>
                </pt>
                <pt idx="773">
                  <v>0.072157</v>
                </pt>
                <pt idx="774">
                  <v>0.071948</v>
                </pt>
                <pt idx="775">
                  <v>0.072134</v>
                </pt>
                <pt idx="776">
                  <v>0.071848</v>
                </pt>
                <pt idx="777">
                  <v>0.07224700000000001</v>
                </pt>
                <pt idx="778">
                  <v>0.072002</v>
                </pt>
                <pt idx="779">
                  <v>0.071932</v>
                </pt>
                <pt idx="780">
                  <v>0.071798</v>
                </pt>
                <pt idx="781">
                  <v>0.072729</v>
                </pt>
                <pt idx="782">
                  <v>0.071908</v>
                </pt>
                <pt idx="783">
                  <v>0.071876</v>
                </pt>
                <pt idx="784">
                  <v>0.07233199999999999</v>
                </pt>
                <pt idx="785">
                  <v>0.07184</v>
                </pt>
                <pt idx="786">
                  <v>0.072019</v>
                </pt>
                <pt idx="787">
                  <v>0.07220699999999999</v>
                </pt>
                <pt idx="788">
                  <v>0.071976</v>
                </pt>
                <pt idx="789">
                  <v>0.072223</v>
                </pt>
                <pt idx="790">
                  <v>0.07177799999999999</v>
                </pt>
                <pt idx="791">
                  <v>0.072435</v>
                </pt>
                <pt idx="792">
                  <v>0.071827</v>
                </pt>
                <pt idx="793">
                  <v>0.072032</v>
                </pt>
                <pt idx="794">
                  <v>0.072245</v>
                </pt>
                <pt idx="795">
                  <v>0.072145</v>
                </pt>
                <pt idx="796">
                  <v>0.072128</v>
                </pt>
                <pt idx="797">
                  <v>0.071862</v>
                </pt>
                <pt idx="798">
                  <v>0.07185999999999999</v>
                </pt>
                <pt idx="799">
                  <v>0.071876</v>
                </pt>
                <pt idx="800">
                  <v>0.072092</v>
                </pt>
                <pt idx="801">
                  <v>0.071822</v>
                </pt>
                <pt idx="802">
                  <v>0.07184699999999999</v>
                </pt>
                <pt idx="803">
                  <v>0.071756</v>
                </pt>
                <pt idx="804">
                  <v>0.07191599999999999</v>
                </pt>
                <pt idx="805">
                  <v>0.07190100000000001</v>
                </pt>
                <pt idx="806">
                  <v>0.072201</v>
                </pt>
                <pt idx="807">
                  <v>0.071904</v>
                </pt>
                <pt idx="808">
                  <v>0.072076</v>
                </pt>
                <pt idx="809">
                  <v>0.07190299999999999</v>
                </pt>
                <pt idx="810">
                  <v>0.071783</v>
                </pt>
                <pt idx="811">
                  <v>0.071798</v>
                </pt>
                <pt idx="812">
                  <v>0.072112</v>
                </pt>
                <pt idx="813">
                  <v>0.071854</v>
                </pt>
                <pt idx="814">
                  <v>0.071918</v>
                </pt>
                <pt idx="815">
                  <v>0.071882</v>
                </pt>
                <pt idx="816">
                  <v>0.07177799999999999</v>
                </pt>
                <pt idx="817">
                  <v>0.072036</v>
                </pt>
                <pt idx="818">
                  <v>0.071745</v>
                </pt>
                <pt idx="819">
                  <v>0.071934</v>
                </pt>
                <pt idx="820">
                  <v>0.071755</v>
                </pt>
                <pt idx="821">
                  <v>0.071838</v>
                </pt>
                <pt idx="822">
                  <v>0.071938</v>
                </pt>
                <pt idx="823">
                  <v>0.07190000000000001</v>
                </pt>
                <pt idx="824">
                  <v>0.071913</v>
                </pt>
                <pt idx="825">
                  <v>0.07173599999999999</v>
                </pt>
                <pt idx="826">
                  <v>0.07177799999999999</v>
                </pt>
                <pt idx="827">
                  <v>0.071907</v>
                </pt>
                <pt idx="828">
                  <v>0.071881</v>
                </pt>
                <pt idx="829">
                  <v>0.071771</v>
                </pt>
                <pt idx="830">
                  <v>0.07186099999999999</v>
                </pt>
                <pt idx="831">
                  <v>0.071813</v>
                </pt>
                <pt idx="832">
                  <v>0.071772</v>
                </pt>
                <pt idx="833">
                  <v>0.071878</v>
                </pt>
                <pt idx="834">
                  <v>0.071977</v>
                </pt>
                <pt idx="835">
                  <v>0.07196900000000001</v>
                </pt>
                <pt idx="836">
                  <v>0.071843</v>
                </pt>
                <pt idx="837">
                  <v>0.071742</v>
                </pt>
                <pt idx="838">
                  <v>0.07177799999999999</v>
                </pt>
                <pt idx="839">
                  <v>0.071892</v>
                </pt>
                <pt idx="840">
                  <v>0.071811</v>
                </pt>
                <pt idx="841">
                  <v>0.07165299999999999</v>
                </pt>
                <pt idx="842">
                  <v>0.07183199999999999</v>
                </pt>
                <pt idx="843">
                  <v>0.071788</v>
                </pt>
                <pt idx="844">
                  <v>0.071688</v>
                </pt>
                <pt idx="845">
                  <v>0.071809</v>
                </pt>
                <pt idx="846">
                  <v>0.07189</v>
                </pt>
                <pt idx="847">
                  <v>0.071788</v>
                </pt>
                <pt idx="848">
                  <v>0.071757</v>
                </pt>
                <pt idx="849">
                  <v>0.071808</v>
                </pt>
                <pt idx="850">
                  <v>0.071975</v>
                </pt>
                <pt idx="851">
                  <v>0.071726</v>
                </pt>
                <pt idx="852">
                  <v>0.071841</v>
                </pt>
                <pt idx="853">
                  <v>0.071711</v>
                </pt>
                <pt idx="854">
                  <v>0.07173</v>
                </pt>
                <pt idx="855">
                  <v>0.071767</v>
                </pt>
                <pt idx="856">
                  <v>0.07172199999999999</v>
                </pt>
                <pt idx="857">
                  <v>0.071848</v>
                </pt>
                <pt idx="858">
                  <v>0.071726</v>
                </pt>
                <pt idx="859">
                  <v>0.07184500000000001</v>
                </pt>
                <pt idx="860">
                  <v>0.07174</v>
                </pt>
                <pt idx="861">
                  <v>0.071773</v>
                </pt>
                <pt idx="862">
                  <v>0.07169499999999999</v>
                </pt>
                <pt idx="863">
                  <v>0.07162399999999999</v>
                </pt>
                <pt idx="864">
                  <v>0.072024</v>
                </pt>
                <pt idx="865">
                  <v>0.071691</v>
                </pt>
                <pt idx="866">
                  <v>0.071868</v>
                </pt>
                <pt idx="867">
                  <v>0.071812</v>
                </pt>
                <pt idx="868">
                  <v>0.071604</v>
                </pt>
                <pt idx="869">
                  <v>0.071771</v>
                </pt>
                <pt idx="870">
                  <v>0.07174999999999999</v>
                </pt>
                <pt idx="871">
                  <v>0.071871</v>
                </pt>
                <pt idx="872">
                  <v>0.07176299999999999</v>
                </pt>
                <pt idx="873">
                  <v>0.071774</v>
                </pt>
                <pt idx="874">
                  <v>0.07173</v>
                </pt>
                <pt idx="875">
                  <v>0.071745</v>
                </pt>
                <pt idx="876">
                  <v>0.071726</v>
                </pt>
                <pt idx="877">
                  <v>0.071699</v>
                </pt>
                <pt idx="878">
                  <v>0.071813</v>
                </pt>
                <pt idx="879">
                  <v>0.07180499999999999</v>
                </pt>
                <pt idx="880">
                  <v>0.071674</v>
                </pt>
                <pt idx="881">
                  <v>0.07172199999999999</v>
                </pt>
                <pt idx="882">
                  <v>0.071774</v>
                </pt>
                <pt idx="883">
                  <v>0.071786</v>
                </pt>
                <pt idx="884">
                  <v>0.07172099999999999</v>
                </pt>
                <pt idx="885">
                  <v>0.071712</v>
                </pt>
                <pt idx="886">
                  <v>0.071659</v>
                </pt>
                <pt idx="887">
                  <v>0.071688</v>
                </pt>
                <pt idx="888">
                  <v>0.071825</v>
                </pt>
                <pt idx="889">
                  <v>0.07174999999999999</v>
                </pt>
                <pt idx="890">
                  <v>0.071739</v>
                </pt>
                <pt idx="891">
                  <v>0.07179000000000001</v>
                </pt>
                <pt idx="892">
                  <v>0.071746</v>
                </pt>
                <pt idx="893">
                  <v>0.07174</v>
                </pt>
                <pt idx="894">
                  <v>0.071691</v>
                </pt>
                <pt idx="895">
                  <v>0.071796</v>
                </pt>
                <pt idx="896">
                  <v>0.07169200000000001</v>
                </pt>
                <pt idx="897">
                  <v>0.07178900000000001</v>
                </pt>
                <pt idx="898">
                  <v>0.071739</v>
                </pt>
                <pt idx="899">
                  <v>0.071714</v>
                </pt>
                <pt idx="900">
                  <v>0.071765</v>
                </pt>
                <pt idx="901">
                  <v>0.071711</v>
                </pt>
                <pt idx="902">
                  <v>0.071751</v>
                </pt>
                <pt idx="903">
                  <v>0.07172000000000001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204272288"/>
        <axId val="1204270848"/>
      </lineChart>
      <catAx>
        <axId val="1204272288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204270848"/>
        <crosses val="autoZero"/>
        <auto val="1"/>
        <lblAlgn val="ctr"/>
        <lblOffset val="100"/>
        <noMultiLvlLbl val="0"/>
      </catAx>
      <valAx>
        <axId val="1204270848"/>
        <scaling>
          <orientation val="minMax"/>
          <max val="0.08"/>
          <min val="0.07000000000000001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204272288"/>
        <crosses val="autoZero"/>
        <crossBetween val="between"/>
      </valAx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cat>
            <strRef>
              <f>Introduction!$A$29:$A$31</f>
              <strCache>
                <ptCount val="3"/>
                <pt idx="0">
                  <v>SchNet</v>
                </pt>
                <pt idx="1">
                  <v>EGNN</v>
                </pt>
                <pt idx="2">
                  <v>Equiformer</v>
                </pt>
              </strCache>
            </strRef>
          </cat>
          <val>
            <numRef>
              <f>Introduction!$B$29:$B$31</f>
              <numCache>
                <formatCode>General</formatCode>
                <ptCount val="3"/>
                <pt idx="0">
                  <v>13.9795966666667</v>
                </pt>
                <pt idx="1">
                  <v>12.3824786666667</v>
                </pt>
                <pt idx="2">
                  <v>14.35633125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4">
                <a:lumMod val="60000"/>
                <a:lumOff val="40000"/>
              </a:schemeClr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dLbls>
            <delete val="1"/>
          </dLbls>
          <cat>
            <strRef>
              <f>Introduction!$A$29:$A$31</f>
              <strCache>
                <ptCount val="3"/>
                <pt idx="0">
                  <v>SchNet</v>
                </pt>
                <pt idx="1">
                  <v>EGNN</v>
                </pt>
                <pt idx="2">
                  <v>Equiformer</v>
                </pt>
              </strCache>
            </strRef>
          </cat>
          <val>
            <numRef>
              <f>Introduction!$C$29:$C$31</f>
              <numCache>
                <formatCode>General</formatCode>
                <ptCount val="3"/>
                <pt idx="0">
                  <v>13.7549721666667</v>
                </pt>
                <pt idx="1">
                  <v>11.8560869166667</v>
                </pt>
                <pt idx="2">
                  <v>13.2550406666667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62423320"/>
        <axId val="1462420800"/>
      </barChart>
      <catAx>
        <axId val="1462423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r>
              <a:t/>
            </a:r>
          </a:p>
        </txPr>
        <crossAx val="1462420800"/>
        <crosses val="autoZero"/>
        <auto val="1"/>
        <lblAlgn val="ctr"/>
        <lblOffset val="100"/>
        <noMultiLvlLbl val="0"/>
      </catAx>
      <valAx>
        <axId val="1462420800"/>
        <scaling>
          <orientation val="minMax"/>
          <min val="11.5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r>
              <a:t/>
            </a:r>
          </a:p>
        </txPr>
        <crossAx val="1462423320"/>
        <crosses val="autoZero"/>
        <crossBetween val="between"/>
      </valAx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00" b="0" i="0" strike="noStrike" kern="1200" baseline="0">
              <a:solidFill>
                <a:sysClr val="windowText" lastClr="000000"/>
              </a:solidFill>
              <a:latin typeface="Arial" panose="020B0604020202020204" pitchFamily="7" charset="0"/>
              <a:ea typeface="+mn-ea"/>
              <a:cs typeface="Arial" panose="020B0604020202020204" pitchFamily="7" charset="0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Introduction!$D$3</f>
              <strCache>
                <ptCount val="1"/>
                <pt idx="0">
                  <v>w/o EDG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cat>
            <strRef>
              <f>Introduction!$C$4:$C$6</f>
              <strCache>
                <ptCount val="3"/>
                <pt idx="0">
                  <v>SchNet</v>
                </pt>
                <pt idx="1">
                  <v>SphereNet</v>
                </pt>
                <pt idx="2">
                  <v>ViSNet</v>
                </pt>
              </strCache>
            </strRef>
          </cat>
          <val>
            <numRef>
              <f>Introduction!$D$4:$D$6</f>
              <numCache>
                <formatCode>General</formatCode>
                <ptCount val="3"/>
                <pt idx="0">
                  <v>0.2502985</v>
                </pt>
                <pt idx="1">
                  <v>0.0782267</v>
                </pt>
                <pt idx="2">
                  <v>0.0189774</v>
                </pt>
              </numCache>
            </numRef>
          </val>
        </ser>
        <ser>
          <idx val="1"/>
          <order val="1"/>
          <tx>
            <strRef>
              <f>Introduction!$E$3</f>
              <strCache>
                <ptCount val="1"/>
                <pt idx="0">
                  <v>w/ EDG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Lbls>
            <delete val="1"/>
          </dLbls>
          <cat>
            <strRef>
              <f>Introduction!$C$4:$C$6</f>
              <strCache>
                <ptCount val="3"/>
                <pt idx="0">
                  <v>SchNet</v>
                </pt>
                <pt idx="1">
                  <v>SphereNet</v>
                </pt>
                <pt idx="2">
                  <v>ViSNet</v>
                </pt>
              </strCache>
            </strRef>
          </cat>
          <val>
            <numRef>
              <f>Introduction!$E$4:$E$6</f>
              <numCache>
                <formatCode>General</formatCode>
                <ptCount val="3"/>
                <pt idx="0">
                  <v>0.1554687</v>
                </pt>
                <pt idx="1">
                  <v>0.0584079</v>
                </pt>
                <pt idx="2">
                  <v>0.0163625</v>
                </pt>
              </numCache>
            </numRef>
          </val>
        </ser>
        <ser>
          <idx val="2"/>
          <order val="2"/>
          <tx>
            <strRef>
              <f>Introduction!$F$3</f>
              <strCache>
                <ptCount val="1"/>
                <pt idx="0">
                  <v>w/ EDG++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elete val="1"/>
          </dLbls>
          <cat>
            <strRef>
              <f>Introduction!$C$4:$C$6</f>
              <strCache>
                <ptCount val="3"/>
                <pt idx="0">
                  <v>SchNet</v>
                </pt>
                <pt idx="1">
                  <v>SphereNet</v>
                </pt>
                <pt idx="2">
                  <v>ViSNet</v>
                </pt>
              </strCache>
            </strRef>
          </cat>
          <val>
            <numRef>
              <f>Introduction!$F$4:$F$6</f>
              <numCache>
                <formatCode>General</formatCode>
                <ptCount val="3"/>
                <pt idx="1">
                  <v>0.055551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269249264"/>
        <axId val="1269251064"/>
      </barChart>
      <catAx>
        <axId val="126924926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800" b="0" i="0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r>
              <a:t/>
            </a:r>
          </a:p>
        </txPr>
        <crossAx val="1269251064"/>
        <crosses val="autoZero"/>
        <auto val="1"/>
        <lblAlgn val="ctr"/>
        <lblOffset val="100"/>
        <noMultiLvlLbl val="0"/>
      </catAx>
      <valAx>
        <axId val="1269251064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800" b="0" i="0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r>
              <a:t/>
            </a:r>
          </a:p>
        </txPr>
        <crossAx val="1269249264"/>
        <crosses val="autoZero"/>
        <crossBetween val="between"/>
      </valAx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800" b="0" i="0" strike="noStrike" kern="1200" baseline="0">
              <a:solidFill>
                <a:sysClr val="windowText" lastClr="000000"/>
              </a:solidFill>
              <a:latin typeface="Arial" panose="020B0604020202020204" pitchFamily="7" charset="0"/>
              <a:ea typeface="+mn-ea"/>
              <a:cs typeface="Arial" panose="020B0604020202020204" pitchFamily="7" charset="0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</authors>
  <commentList>
    <comment ref="C13" authorId="0" shapeId="0">
      <text>
        <t>user:
ED1.0/rs42</t>
      </text>
    </comment>
    <comment ref="D13" authorId="0" shapeId="0">
      <text>
        <t>user:
ED0.01/rs42</t>
      </text>
    </comment>
    <comment ref="E13" authorId="0" shapeId="0">
      <text>
        <t>user:
ED1.0/rs42</t>
      </text>
    </comment>
    <comment ref="F13" authorId="0" shapeId="0">
      <text>
        <t>user:
ED0.001/rs42</t>
      </text>
    </comment>
    <comment ref="G13" authorId="0" shapeId="0">
      <text>
        <t>user:
ED1.0/rs42</t>
      </text>
    </comment>
    <comment ref="H13" authorId="0" shapeId="0">
      <text>
        <t>user:
ED1.0/rs42</t>
      </text>
    </comment>
    <comment ref="I13" authorId="0" shapeId="0">
      <text>
        <t>user:
ED0.01/rs42</t>
      </text>
    </comment>
    <comment ref="J13" authorId="0" shapeId="0">
      <text>
        <t>user:
ED1.0/rs42</t>
      </text>
    </comment>
    <comment ref="K13" authorId="0" shapeId="0">
      <text>
        <t>user:
ED1.0/rs42</t>
      </text>
    </comment>
    <comment ref="L13" authorId="0" shapeId="0">
      <text>
        <t>user:
ED0.5/rs42</t>
      </text>
    </comment>
    <comment ref="M13" authorId="0" shapeId="0">
      <text>
        <t>user:
ED0.05/rs42</t>
      </text>
    </comment>
    <comment ref="N13" authorId="0" shapeId="0">
      <text>
        <t>user:
ED0.005/rs42</t>
      </text>
    </comment>
    <comment ref="E15" authorId="0" shapeId="0">
      <text>
        <t>user:
ED1.0_E0.5/rs42</t>
      </text>
    </comment>
    <comment ref="H15" authorId="0" shapeId="0">
      <text>
        <t>user:
ED1.0_E0.9/rs42</t>
      </text>
    </comment>
    <comment ref="J15" authorId="0" shapeId="0">
      <text>
        <t>user:
ED1.0_E0.4/rs42</t>
      </text>
    </comment>
    <comment ref="K15" authorId="0" shapeId="0">
      <text>
        <t>user:
ED1.0_E0.6/rs42</t>
      </text>
    </comment>
    <comment ref="M15" authorId="0" shapeId="0">
      <text>
        <t>user:
ED1.0_E0.1/rs42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J19" authorId="0" shapeId="0">
      <text>
        <t>user:
之前跑的，删了，没了</t>
      </text>
    </comment>
    <comment ref="K19" authorId="0" shapeId="0">
      <text>
        <t>user:
之前跑的，删了，没了</t>
      </text>
    </comment>
    <comment ref="M19" authorId="0" shapeId="0">
      <text>
        <t>user:
之前跑的，删了，没了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twoCellAnchor editAs="oneCell">
    <from>
      <col>1</col>
      <colOff>71120</colOff>
      <row>47</row>
      <rowOff>127000</rowOff>
    </from>
    <to>
      <col>12</col>
      <colOff>519003</colOff>
      <row>56</row>
      <rowOff>98236</rowOff>
    </to>
    <pic>
      <nvPicPr>
        <cNvPr id="6" name="图片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99770" y="8931275"/>
          <a:ext cx="12404090" cy="157099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685800</colOff>
      <row>32</row>
      <rowOff>130175</rowOff>
    </from>
    <to>
      <col>16</col>
      <colOff>176529</colOff>
      <row>58</row>
      <rowOff>19105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641715" y="6267450"/>
          <a:ext cx="7263130" cy="45116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57150</colOff>
      <row>43</row>
      <rowOff>28487</rowOff>
    </from>
    <to>
      <col>8</col>
      <colOff>0</colOff>
      <row>69</row>
      <rowOff>94369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14450" y="7673340"/>
          <a:ext cx="7085330" cy="46888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485775</colOff>
      <row>0</row>
      <rowOff>76200</rowOff>
    </from>
    <to>
      <col>8</col>
      <colOff>180975</colOff>
      <row>3</row>
      <rowOff>31860</rowOff>
    </to>
    <pic>
      <nvPicPr>
        <cNvPr id="3" name="图片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114425" y="76200"/>
          <a:ext cx="7466330" cy="4889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209550</colOff>
      <row>46</row>
      <rowOff>97944</rowOff>
    </from>
    <to>
      <col>19</col>
      <colOff>55164</colOff>
      <row>69</row>
      <rowOff>103898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609330" y="8276590"/>
          <a:ext cx="8646160" cy="40951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1</col>
      <colOff>190500</colOff>
      <row>20</row>
      <rowOff>161925</rowOff>
    </from>
    <to>
      <col>24</col>
      <colOff>600075</colOff>
      <row>50</row>
      <rowOff>128587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10</col>
      <colOff>106045</colOff>
      <row>21</row>
      <rowOff>134620</rowOff>
    </from>
    <to>
      <col>14</col>
      <colOff>539433</colOff>
      <row>37</row>
      <rowOff>134620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47625</colOff>
      <row>2</row>
      <rowOff>119062</rowOff>
    </from>
    <to>
      <col>16</col>
      <colOff>552450</colOff>
      <row>18</row>
      <rowOff>119062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H15"/>
  <sheetViews>
    <sheetView workbookViewId="0">
      <selection activeCell="E9" sqref="E9"/>
    </sheetView>
  </sheetViews>
  <sheetFormatPr baseColWidth="8" defaultColWidth="9" defaultRowHeight="14"/>
  <cols>
    <col width="9" customWidth="1" style="5" min="1" max="2"/>
    <col width="15.7545454545455" customWidth="1" style="5" min="3" max="3"/>
    <col width="27.1272727272727" customWidth="1" style="5" min="4" max="4"/>
    <col width="15.7545454545455" customWidth="1" style="5" min="5" max="5"/>
    <col width="32.2545454545455" customWidth="1" style="5" min="6" max="6"/>
    <col width="15.7545454545455" customWidth="1" style="5" min="7" max="8"/>
    <col width="9" customWidth="1" style="5" min="9" max="16384"/>
  </cols>
  <sheetData>
    <row r="3">
      <c r="C3" s="50" t="inlineStr">
        <is>
          <t>计算 Conformer3D_COMPOUND_CID_3325 中 Dt.cube 的存储和电子密度的点数量</t>
        </is>
      </c>
    </row>
    <row r="4">
      <c r="C4" s="51" t="inlineStr">
        <is>
          <t>GridSpacing</t>
        </is>
      </c>
      <c r="D4" s="51" t="inlineStr">
        <is>
          <t>Dt Cube Storage Space (KB)</t>
        </is>
      </c>
      <c r="E4" s="51" t="inlineStr">
        <is>
          <t>#ED</t>
        </is>
      </c>
      <c r="F4" s="51" t="inlineStr">
        <is>
          <t>6-View Image Storage Space (KB)</t>
        </is>
      </c>
    </row>
    <row r="5">
      <c r="C5" s="52" t="n">
        <v>0.05</v>
      </c>
      <c r="D5" s="53" t="n">
        <v>941768</v>
      </c>
      <c r="E5" s="53" t="n">
        <v>73243170</v>
      </c>
      <c r="F5" s="52" t="n">
        <v>130</v>
      </c>
    </row>
    <row r="6">
      <c r="C6" s="5" t="n">
        <v>0.1</v>
      </c>
      <c r="D6" s="54" t="n">
        <v>118809</v>
      </c>
      <c r="E6" s="54" t="n">
        <v>9239840</v>
      </c>
      <c r="F6" s="5" t="n">
        <v>130</v>
      </c>
    </row>
    <row r="7">
      <c r="C7" s="5" t="n">
        <v>0.2</v>
      </c>
      <c r="D7" s="54" t="n">
        <v>15222</v>
      </c>
      <c r="E7" s="54" t="n">
        <v>1183680</v>
      </c>
      <c r="F7" s="5" t="n">
        <v>130</v>
      </c>
    </row>
    <row r="8">
      <c r="C8" s="5" t="n">
        <v>0.3</v>
      </c>
      <c r="D8" s="54" t="n">
        <v>4666</v>
      </c>
      <c r="E8" s="54" t="n">
        <v>362664</v>
      </c>
      <c r="F8" s="5" t="n">
        <v>130</v>
      </c>
    </row>
    <row r="9">
      <c r="C9" s="5" t="n">
        <v>0.4</v>
      </c>
      <c r="D9" s="54" t="n">
        <v>2003</v>
      </c>
      <c r="E9" s="54" t="n">
        <v>155595</v>
      </c>
      <c r="F9" s="5" t="n">
        <v>132</v>
      </c>
    </row>
    <row r="10">
      <c r="C10" s="5" t="n">
        <v>0.5</v>
      </c>
      <c r="D10" s="54" t="n">
        <v>1048</v>
      </c>
      <c r="E10" s="54" t="n">
        <v>81312</v>
      </c>
      <c r="F10" s="5" t="n">
        <v>131</v>
      </c>
    </row>
    <row r="11">
      <c r="C11" s="5" t="n">
        <v>0.6</v>
      </c>
      <c r="D11" s="5" t="n">
        <v>628</v>
      </c>
      <c r="E11" s="54" t="n">
        <v>48692</v>
      </c>
      <c r="F11" s="5" t="n">
        <v>130</v>
      </c>
    </row>
    <row r="12">
      <c r="C12" s="5" t="n">
        <v>0.7</v>
      </c>
      <c r="D12" s="5" t="n">
        <v>397</v>
      </c>
      <c r="E12" s="54" t="n">
        <v>30720</v>
      </c>
      <c r="F12" s="5" t="n">
        <v>132</v>
      </c>
    </row>
    <row r="13">
      <c r="C13" s="5" t="n">
        <v>0.8</v>
      </c>
      <c r="D13" s="5" t="n">
        <v>267</v>
      </c>
      <c r="E13" s="54" t="n">
        <v>20580</v>
      </c>
      <c r="F13" s="5" t="n">
        <v>132</v>
      </c>
    </row>
    <row r="14">
      <c r="C14" s="5" t="n">
        <v>0.9</v>
      </c>
      <c r="D14" s="5" t="n">
        <v>198</v>
      </c>
      <c r="E14" s="54" t="n">
        <v>15200</v>
      </c>
      <c r="F14" s="5" t="n">
        <v>128</v>
      </c>
    </row>
    <row r="15">
      <c r="C15" s="55" t="n">
        <v>1</v>
      </c>
      <c r="D15" s="55" t="n">
        <v>148</v>
      </c>
      <c r="E15" s="56" t="n">
        <v>11339</v>
      </c>
      <c r="F15" s="55" t="n">
        <v>127</v>
      </c>
    </row>
  </sheetData>
  <mergeCells count="1">
    <mergeCell ref="C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C32"/>
  <sheetViews>
    <sheetView tabSelected="1" workbookViewId="0">
      <selection activeCell="B27" sqref="B5:N6 B12:N13 B20:N21 B27:N28"/>
    </sheetView>
  </sheetViews>
  <sheetFormatPr baseColWidth="8" defaultColWidth="9" defaultRowHeight="14"/>
  <cols>
    <col width="38.6272727272727" customWidth="1" style="57" min="2" max="2"/>
    <col width="13.2545454545455" customWidth="1" style="57" min="3" max="14"/>
    <col width="9.5" customWidth="1" style="57" min="16" max="16"/>
    <col width="10.5" customWidth="1" style="57" min="17" max="17"/>
  </cols>
  <sheetData>
    <row r="2">
      <c r="C2" s="3" t="inlineStr">
        <is>
          <t>alpha</t>
        </is>
      </c>
      <c r="D2" s="3" t="inlineStr">
        <is>
          <t>gap</t>
        </is>
      </c>
      <c r="E2" s="3" t="inlineStr">
        <is>
          <t>homo</t>
        </is>
      </c>
      <c r="F2" s="3" t="inlineStr">
        <is>
          <t>lumo</t>
        </is>
      </c>
      <c r="G2" s="3" t="inlineStr">
        <is>
          <t>mu</t>
        </is>
      </c>
      <c r="H2" s="3" t="inlineStr">
        <is>
          <t>cv</t>
        </is>
      </c>
      <c r="I2" s="3" t="inlineStr">
        <is>
          <t>g298</t>
        </is>
      </c>
      <c r="J2" s="3" t="inlineStr">
        <is>
          <t>h298</t>
        </is>
      </c>
      <c r="K2" s="3" t="inlineStr">
        <is>
          <t>r2</t>
        </is>
      </c>
      <c r="L2" s="3" t="inlineStr">
        <is>
          <t>u298</t>
        </is>
      </c>
      <c r="M2" s="3" t="inlineStr">
        <is>
          <t>u0</t>
        </is>
      </c>
      <c r="N2" s="3" t="inlineStr">
        <is>
          <t>zpve</t>
        </is>
      </c>
    </row>
    <row r="3" ht="48.75" customHeight="1" s="57">
      <c r="B3" s="28" t="inlineStr">
        <is>
          <t>Model</t>
        </is>
      </c>
      <c r="C3" s="29" t="inlineStr">
        <is>
          <t>α ↓</t>
        </is>
      </c>
      <c r="D3" s="30" t="inlineStr">
        <is>
          <t>∇E ↓</t>
        </is>
      </c>
      <c r="E3" s="33" t="inlineStr">
        <is>
          <t>EHOMO ↓</t>
        </is>
      </c>
      <c r="F3" s="33" t="inlineStr">
        <is>
          <t>ELUMO ↓</t>
        </is>
      </c>
      <c r="G3" s="29" t="inlineStr">
        <is>
          <t>μ ↓</t>
        </is>
      </c>
      <c r="H3" s="33" t="inlineStr">
        <is>
          <t>Cv ↓</t>
        </is>
      </c>
      <c r="I3" s="33" t="inlineStr">
        <is>
          <t>G ↓</t>
        </is>
      </c>
      <c r="J3" s="33" t="inlineStr">
        <is>
          <t>H ↓</t>
        </is>
      </c>
      <c r="K3" s="33" t="inlineStr">
        <is>
          <t>R2 ↓</t>
        </is>
      </c>
      <c r="L3" s="33" t="inlineStr">
        <is>
          <t>U ↓</t>
        </is>
      </c>
      <c r="M3" s="33" t="inlineStr">
        <is>
          <t>U0 ↓</t>
        </is>
      </c>
      <c r="N3" s="33" t="inlineStr">
        <is>
          <t>ZPVE ↓</t>
        </is>
      </c>
      <c r="P3" s="2" t="inlineStr">
        <is>
          <t>eV 转为 毫电子伏特 (meV) 时，数据要乘以 1000</t>
        </is>
      </c>
    </row>
    <row r="4" ht="14.5" customHeight="1" s="57">
      <c r="B4" s="58" t="n"/>
      <c r="C4" s="32" t="n"/>
      <c r="D4" s="33" t="inlineStr">
        <is>
          <t>meV</t>
        </is>
      </c>
      <c r="E4" s="33" t="inlineStr">
        <is>
          <t>meV</t>
        </is>
      </c>
      <c r="F4" s="33" t="inlineStr">
        <is>
          <t>meV</t>
        </is>
      </c>
      <c r="G4" s="33" t="inlineStr">
        <is>
          <t>D</t>
        </is>
      </c>
      <c r="H4" s="30" t="n"/>
      <c r="I4" s="33" t="inlineStr">
        <is>
          <t>meV</t>
        </is>
      </c>
      <c r="J4" s="33" t="inlineStr">
        <is>
          <t>meV</t>
        </is>
      </c>
      <c r="K4" s="34" t="n"/>
      <c r="L4" s="33" t="inlineStr">
        <is>
          <t>meV</t>
        </is>
      </c>
      <c r="M4" s="33" t="inlineStr">
        <is>
          <t>meV</t>
        </is>
      </c>
      <c r="N4" s="33" t="inlineStr">
        <is>
          <t>meV</t>
        </is>
      </c>
      <c r="O4" s="35" t="inlineStr">
        <is>
          <t>AVG</t>
        </is>
      </c>
      <c r="P4" s="36" t="inlineStr">
        <is>
          <t>发表时间</t>
        </is>
      </c>
      <c r="R4" s="2" t="inlineStr">
        <is>
          <t>之前跑的，数据丢了</t>
        </is>
      </c>
    </row>
    <row r="5">
      <c r="A5" s="37" t="inlineStr">
        <is>
          <t>已完成</t>
        </is>
      </c>
      <c r="B5" s="4" t="inlineStr">
        <is>
          <t>SchNet</t>
        </is>
      </c>
      <c r="C5" s="59" t="n">
        <v>0.070206</v>
      </c>
      <c r="D5" s="60">
        <f>0.050829*1000</f>
        <v/>
      </c>
      <c r="E5" s="60">
        <f>0.031952*1000</f>
        <v/>
      </c>
      <c r="F5" s="60">
        <f>0.026168*1000</f>
        <v/>
      </c>
      <c r="G5" s="59" t="n">
        <v>0.030133</v>
      </c>
      <c r="H5" s="59" t="n">
        <v>0.032275</v>
      </c>
      <c r="I5" s="60">
        <f>0.014678*1000</f>
        <v/>
      </c>
      <c r="J5" s="60">
        <f>0.01409*1000</f>
        <v/>
      </c>
      <c r="K5" s="59" t="n">
        <v>0.134546</v>
      </c>
      <c r="L5" s="60">
        <f>0.014142*1000</f>
        <v/>
      </c>
      <c r="M5" s="60" t="n">
        <v>13.915</v>
      </c>
      <c r="N5" s="60">
        <f>0.001714*1000</f>
        <v/>
      </c>
      <c r="P5" s="3" t="n">
        <v>2018</v>
      </c>
      <c r="R5" s="59" t="n">
        <v>0.070206</v>
      </c>
      <c r="S5" s="60">
        <f>0.050829*1000</f>
        <v/>
      </c>
      <c r="T5" s="60">
        <f>0.031952*1000</f>
        <v/>
      </c>
      <c r="U5" s="60">
        <f>0.026168*1000</f>
        <v/>
      </c>
      <c r="V5" s="59" t="n">
        <v>0.030133</v>
      </c>
      <c r="W5" s="59" t="n">
        <v>0.032275</v>
      </c>
      <c r="X5" s="60">
        <f>0.014678*1000</f>
        <v/>
      </c>
      <c r="Y5" s="60">
        <f>0.01409*1000</f>
        <v/>
      </c>
      <c r="Z5" s="59" t="n">
        <v>0.134546</v>
      </c>
      <c r="AA5" s="60">
        <f>0.014142*1000</f>
        <v/>
      </c>
      <c r="AB5" s="60">
        <f>0.013629*1000</f>
        <v/>
      </c>
      <c r="AC5" s="60">
        <f>0.001714*1000</f>
        <v/>
      </c>
    </row>
    <row r="6">
      <c r="A6" s="3" t="n"/>
      <c r="B6" s="40" t="inlineStr">
        <is>
          <t>SchNet w/ ED</t>
        </is>
      </c>
      <c r="C6" s="61" t="n">
        <v>0.068662</v>
      </c>
      <c r="D6" s="62" t="n">
        <v>49.778</v>
      </c>
      <c r="E6" s="62" t="n">
        <v>31.884</v>
      </c>
      <c r="F6" s="62" t="n">
        <v>25.9719999999999</v>
      </c>
      <c r="G6" s="61" t="n">
        <v>0.029798</v>
      </c>
      <c r="H6" s="61" t="n">
        <v>0.031623</v>
      </c>
      <c r="I6" s="62" t="n">
        <v>14.022</v>
      </c>
      <c r="J6" s="62" t="n">
        <v>13.841</v>
      </c>
      <c r="K6" s="61" t="n">
        <v>0.124583</v>
      </c>
      <c r="L6" s="62" t="n">
        <v>13.794</v>
      </c>
      <c r="M6" s="62" t="n">
        <v>13.826</v>
      </c>
      <c r="N6" s="62" t="n">
        <v>1.688</v>
      </c>
      <c r="P6" s="3" t="n"/>
      <c r="R6" s="61" t="n">
        <v>0.068063</v>
      </c>
      <c r="S6" s="62" t="n">
        <v>49.755</v>
      </c>
      <c r="T6" s="62" t="n">
        <v>31.694</v>
      </c>
      <c r="U6" s="62" t="n">
        <v>26.083</v>
      </c>
      <c r="V6" s="61" t="n">
        <v>0.029803</v>
      </c>
      <c r="W6" s="61" t="n">
        <v>0.03169</v>
      </c>
      <c r="X6" s="62" t="n">
        <v>14.086</v>
      </c>
      <c r="Y6" s="62" t="n">
        <v>14.013</v>
      </c>
      <c r="Z6" s="61" t="n">
        <v>0.122769</v>
      </c>
      <c r="AA6" s="62" t="n">
        <v>13.924</v>
      </c>
      <c r="AB6" s="62" t="n">
        <v>13.372</v>
      </c>
      <c r="AC6" s="62" t="n">
        <v>1.677</v>
      </c>
    </row>
    <row r="7">
      <c r="A7" s="3" t="n"/>
      <c r="B7" s="43" t="inlineStr">
        <is>
          <t>Impro</t>
        </is>
      </c>
      <c r="C7" s="63">
        <f>-1*(C6/C5-1)</f>
        <v/>
      </c>
      <c r="D7" s="63">
        <f>-1*(D6/D5-1)</f>
        <v/>
      </c>
      <c r="E7" s="63">
        <f>-1*(E6/E5-1)</f>
        <v/>
      </c>
      <c r="F7" s="63">
        <f>-1*(F6/F5-1)</f>
        <v/>
      </c>
      <c r="G7" s="63">
        <f>-1*(G6/G5-1)</f>
        <v/>
      </c>
      <c r="H7" s="63">
        <f>-1*(H6/H5-1)</f>
        <v/>
      </c>
      <c r="I7" s="63">
        <f>-1*(I6/I5-1)</f>
        <v/>
      </c>
      <c r="J7" s="63">
        <f>-1*(J6/J5-1)</f>
        <v/>
      </c>
      <c r="K7" s="63">
        <f>-1*(K6/K5-1)</f>
        <v/>
      </c>
      <c r="L7" s="63">
        <f>-1*(L6/L5-1)</f>
        <v/>
      </c>
      <c r="M7" s="63">
        <f>-1*(M6/M5-1)</f>
        <v/>
      </c>
      <c r="N7" s="63">
        <f>-1*(N6/N5-1)</f>
        <v/>
      </c>
      <c r="O7" s="64">
        <f>AVERAGE(C7:N7)</f>
        <v/>
      </c>
      <c r="P7" s="3" t="n"/>
      <c r="R7" s="63">
        <f>-1*(R6/R5-1)</f>
        <v/>
      </c>
      <c r="S7" s="63">
        <f>-1*(S6/S5-1)</f>
        <v/>
      </c>
      <c r="T7" s="63">
        <f>-1*(T6/T5-1)</f>
        <v/>
      </c>
      <c r="U7" s="63">
        <f>-1*(U6/U5-1)</f>
        <v/>
      </c>
      <c r="V7" s="63">
        <f>-1*(V6/V5-1)</f>
        <v/>
      </c>
      <c r="W7" s="63">
        <f>-1*(W6/W5-1)</f>
        <v/>
      </c>
      <c r="X7" s="63">
        <f>-1*(X6/X5-1)</f>
        <v/>
      </c>
      <c r="Y7" s="63">
        <f>-1*(Y6/Y5-1)</f>
        <v/>
      </c>
      <c r="Z7" s="63">
        <f>-1*(Z6/Z5-1)</f>
        <v/>
      </c>
      <c r="AA7" s="63">
        <f>-1*(AA6/AA5-1)</f>
        <v/>
      </c>
      <c r="AB7" s="63">
        <f>-1*(AB6/AB5-1)</f>
        <v/>
      </c>
      <c r="AC7" s="63">
        <f>-1*(AC6/AC5-1)</f>
        <v/>
      </c>
    </row>
    <row r="8">
      <c r="A8" s="3" t="n"/>
      <c r="B8" s="40" t="inlineStr">
        <is>
          <t>SchNet w/ ED and Evaluator</t>
        </is>
      </c>
      <c r="C8" s="61" t="n"/>
      <c r="D8" s="62" t="n"/>
      <c r="E8" s="62" t="n"/>
      <c r="F8" s="62" t="n"/>
      <c r="G8" s="61" t="n"/>
      <c r="H8" s="61" t="n"/>
      <c r="I8" s="62" t="n"/>
      <c r="J8" s="62" t="n"/>
      <c r="K8" s="61" t="n"/>
      <c r="L8" s="62" t="n"/>
      <c r="M8" s="62" t="n"/>
      <c r="N8" s="62" t="n"/>
      <c r="P8" s="3" t="n"/>
    </row>
    <row r="9">
      <c r="A9" s="3" t="n"/>
      <c r="B9" s="40" t="inlineStr">
        <is>
          <t>SchNet w/ KD</t>
        </is>
      </c>
      <c r="C9" s="61" t="n"/>
      <c r="D9" s="62" t="n"/>
      <c r="E9" s="62" t="n"/>
      <c r="F9" s="62" t="n"/>
      <c r="G9" s="61" t="n"/>
      <c r="H9" s="61" t="n"/>
      <c r="I9" s="62" t="n"/>
      <c r="J9" s="62" t="n"/>
      <c r="K9" s="61" t="n"/>
      <c r="L9" s="62" t="n"/>
      <c r="M9" s="62" t="n"/>
      <c r="N9" s="62" t="n"/>
      <c r="P9" s="3" t="n"/>
    </row>
    <row r="10">
      <c r="A10" s="3" t="n"/>
      <c r="B10" s="45" t="inlineStr">
        <is>
          <t>EER_SchNet</t>
        </is>
      </c>
      <c r="C10" s="65" t="n"/>
      <c r="D10" s="66" t="n"/>
      <c r="E10" s="66" t="n"/>
      <c r="F10" s="66" t="n"/>
      <c r="G10" s="65" t="n"/>
      <c r="H10" s="65" t="n"/>
      <c r="I10" s="66" t="n"/>
      <c r="J10" s="66" t="n"/>
      <c r="K10" s="65" t="n"/>
      <c r="L10" s="66" t="n"/>
      <c r="M10" s="66" t="n"/>
      <c r="N10" s="66" t="n"/>
      <c r="P10" s="3" t="n"/>
    </row>
    <row r="11">
      <c r="A11" s="3" t="n"/>
      <c r="C11" s="67" t="n"/>
      <c r="D11" s="68" t="n"/>
      <c r="E11" s="68" t="n"/>
      <c r="F11" s="68" t="n"/>
      <c r="G11" s="67" t="n"/>
      <c r="H11" s="67" t="n"/>
      <c r="I11" s="68" t="n"/>
      <c r="J11" s="68" t="n"/>
      <c r="K11" s="67" t="n"/>
      <c r="L11" s="68" t="n"/>
      <c r="M11" s="68" t="n"/>
      <c r="N11" s="68" t="n"/>
      <c r="P11" s="3" t="n"/>
      <c r="R11" s="2" t="inlineStr">
        <is>
          <t>之前跑的，数据丢了</t>
        </is>
      </c>
    </row>
    <row r="12">
      <c r="A12" s="37" t="inlineStr">
        <is>
          <t>已完成</t>
        </is>
      </c>
      <c r="B12" s="4" t="inlineStr">
        <is>
          <t>EGNN</t>
        </is>
      </c>
      <c r="C12" s="59" t="n">
        <v>0.06474199999999999</v>
      </c>
      <c r="D12" s="60" t="n">
        <v>49.493</v>
      </c>
      <c r="E12" s="60" t="n">
        <v>29.865</v>
      </c>
      <c r="F12" s="60" t="n">
        <v>24.696</v>
      </c>
      <c r="G12" s="59" t="n">
        <v>0.029806</v>
      </c>
      <c r="H12" s="59" t="n">
        <v>0.031252</v>
      </c>
      <c r="I12" s="60" t="n">
        <v>11.057</v>
      </c>
      <c r="J12" s="60" t="n">
        <v>10.596</v>
      </c>
      <c r="K12" s="59" t="n">
        <v>0.074944</v>
      </c>
      <c r="L12" s="60" t="n">
        <v>11.013</v>
      </c>
      <c r="M12" s="60" t="n">
        <v>10.15</v>
      </c>
      <c r="N12" s="60" t="n">
        <v>1.519</v>
      </c>
      <c r="P12" s="3" t="inlineStr">
        <is>
          <t>ICML 2021</t>
        </is>
      </c>
      <c r="R12" s="59" t="n">
        <v>0.06474199999999999</v>
      </c>
      <c r="S12" s="60" t="n">
        <v>49.493</v>
      </c>
      <c r="T12" s="60" t="n">
        <v>29.865</v>
      </c>
      <c r="U12" s="60" t="n">
        <v>24.696</v>
      </c>
      <c r="V12" s="59" t="n">
        <v>0.029806</v>
      </c>
      <c r="W12" s="59" t="n">
        <v>0.031252</v>
      </c>
      <c r="X12" s="60" t="n">
        <v>11.057</v>
      </c>
      <c r="Y12" s="60" t="n">
        <v>10.596</v>
      </c>
      <c r="Z12" s="59" t="n">
        <v>0.074944</v>
      </c>
      <c r="AA12" s="60" t="n">
        <v>11.013</v>
      </c>
      <c r="AB12" s="60" t="n">
        <v>10.15</v>
      </c>
      <c r="AC12" s="60" t="n">
        <v>1.519</v>
      </c>
    </row>
    <row r="13">
      <c r="A13" s="3" t="n"/>
      <c r="B13" s="40" t="inlineStr">
        <is>
          <t>EGNN w/ ED</t>
        </is>
      </c>
      <c r="C13" s="61" t="n">
        <v>0.06147</v>
      </c>
      <c r="D13" s="62" t="n">
        <v>46.979</v>
      </c>
      <c r="E13" s="62" t="n">
        <v>28.319</v>
      </c>
      <c r="F13" s="62" t="n">
        <v>24.283</v>
      </c>
      <c r="G13" s="61" t="n">
        <v>0.026545</v>
      </c>
      <c r="H13" s="61" t="n">
        <v>0.030778</v>
      </c>
      <c r="I13" s="62" t="n">
        <v>10.708</v>
      </c>
      <c r="J13" s="62" t="n">
        <v>10.298</v>
      </c>
      <c r="K13" s="61" t="n">
        <v>0.07224999999999999</v>
      </c>
      <c r="L13" s="62" t="n">
        <v>9.984999999999999</v>
      </c>
      <c r="M13" s="62" t="n">
        <v>10.012</v>
      </c>
      <c r="N13" s="62" t="n">
        <v>1.498</v>
      </c>
      <c r="P13" s="3" t="n"/>
      <c r="R13" s="61" t="n">
        <v>0.062357</v>
      </c>
      <c r="S13" s="62" t="n">
        <v>47.011</v>
      </c>
      <c r="T13" s="62" t="n">
        <v>28.424</v>
      </c>
      <c r="U13" s="62" t="n">
        <v>24.117</v>
      </c>
      <c r="V13" s="61" t="n">
        <v>0.027334</v>
      </c>
      <c r="W13" s="61" t="n">
        <v>0.030903</v>
      </c>
      <c r="X13" s="62" t="n">
        <v>10.747</v>
      </c>
      <c r="Y13" s="62" t="n">
        <v>10.326</v>
      </c>
      <c r="Z13" s="61" t="n">
        <v>0.07353899999999999</v>
      </c>
      <c r="AA13" s="62" t="n">
        <v>9.932</v>
      </c>
      <c r="AB13" s="62" t="n">
        <v>9.976000000000001</v>
      </c>
      <c r="AC13" s="62" t="n">
        <v>1.502</v>
      </c>
    </row>
    <row r="14">
      <c r="A14" s="3" t="n"/>
      <c r="B14" s="43" t="inlineStr">
        <is>
          <t>Impro</t>
        </is>
      </c>
      <c r="C14" s="63">
        <f>-1*(C13/C12-1)</f>
        <v/>
      </c>
      <c r="D14" s="63">
        <f>-1*(D13/D12-1)</f>
        <v/>
      </c>
      <c r="E14" s="63">
        <f>-1*(E13/E12-1)</f>
        <v/>
      </c>
      <c r="F14" s="63">
        <f>-1*(F13/F12-1)</f>
        <v/>
      </c>
      <c r="G14" s="63">
        <f>-1*(G13/G12-1)</f>
        <v/>
      </c>
      <c r="H14" s="63">
        <f>-1*(H13/H12-1)</f>
        <v/>
      </c>
      <c r="I14" s="63">
        <f>-1*(I13/I12-1)</f>
        <v/>
      </c>
      <c r="J14" s="63">
        <f>-1*(J13/J12-1)</f>
        <v/>
      </c>
      <c r="K14" s="63">
        <f>-1*(K13/K12-1)</f>
        <v/>
      </c>
      <c r="L14" s="63">
        <f>-1*(L13/L12-1)</f>
        <v/>
      </c>
      <c r="M14" s="63">
        <f>-1*(M13/M12-1)</f>
        <v/>
      </c>
      <c r="N14" s="63">
        <f>-1*(N13/N12-1)</f>
        <v/>
      </c>
      <c r="O14" s="64">
        <f>AVERAGE(C14:N14)</f>
        <v/>
      </c>
      <c r="P14" s="3" t="n"/>
      <c r="R14" s="63">
        <f>-1*(R13/R12-1)</f>
        <v/>
      </c>
      <c r="S14" s="63">
        <f>-1*(S13/S12-1)</f>
        <v/>
      </c>
      <c r="T14" s="63">
        <f>-1*(T13/T12-1)</f>
        <v/>
      </c>
      <c r="U14" s="63">
        <f>-1*(U13/U12-1)</f>
        <v/>
      </c>
      <c r="V14" s="63">
        <f>-1*(V13/V12-1)</f>
        <v/>
      </c>
      <c r="W14" s="63">
        <f>-1*(W13/W12-1)</f>
        <v/>
      </c>
      <c r="X14" s="63">
        <f>-1*(X13/X12-1)</f>
        <v/>
      </c>
      <c r="Y14" s="63">
        <f>-1*(Y13/Y12-1)</f>
        <v/>
      </c>
      <c r="Z14" s="63">
        <f>-1*(Z13/Z12-1)</f>
        <v/>
      </c>
      <c r="AA14" s="63">
        <f>-1*(AA13/AA12-1)</f>
        <v/>
      </c>
      <c r="AB14" s="63">
        <f>-1*(AB13/AB12-1)</f>
        <v/>
      </c>
      <c r="AC14" s="63">
        <f>-1*(AC13/AC12-1)</f>
        <v/>
      </c>
    </row>
    <row r="15">
      <c r="A15" s="37" t="inlineStr">
        <is>
          <t>106服务器</t>
        </is>
      </c>
      <c r="B15" s="40" t="inlineStr">
        <is>
          <t>EGNN w/ ED and Evaluator (topn_batch)</t>
        </is>
      </c>
      <c r="C15" s="61" t="n">
        <v>0.061097</v>
      </c>
      <c r="D15" s="62" t="n">
        <v>45.921</v>
      </c>
      <c r="E15" s="62" t="n">
        <v>27.948</v>
      </c>
      <c r="F15" s="62" t="n">
        <v>24.142</v>
      </c>
      <c r="G15" s="61" t="n"/>
      <c r="H15" s="61" t="n">
        <v>0.03028</v>
      </c>
      <c r="I15" s="62" t="n"/>
      <c r="J15" s="62" t="n">
        <v>10.162</v>
      </c>
      <c r="K15" s="61" t="n">
        <v>0.070899</v>
      </c>
      <c r="L15" s="62" t="n"/>
      <c r="M15" s="62" t="n">
        <v>9.882999999999999</v>
      </c>
      <c r="N15" s="62" t="n"/>
      <c r="P15" s="3" t="n"/>
    </row>
    <row r="16">
      <c r="A16" s="3" t="n"/>
      <c r="B16" s="43" t="inlineStr">
        <is>
          <t>Impro</t>
        </is>
      </c>
      <c r="C16" s="63">
        <f>-1*(C15/C13-1)</f>
        <v/>
      </c>
      <c r="D16" s="63">
        <f>-1*(D15/D13-1)</f>
        <v/>
      </c>
      <c r="E16" s="63">
        <f>-1*(E15/E13-1)</f>
        <v/>
      </c>
      <c r="F16" s="63">
        <f>-1*(F15/F13-1)</f>
        <v/>
      </c>
      <c r="G16" s="63" t="n"/>
      <c r="H16" s="63">
        <f>-1*(H15/H13-1)</f>
        <v/>
      </c>
      <c r="I16" s="63" t="n"/>
      <c r="J16" s="63">
        <f>-1*(J15/J13-1)</f>
        <v/>
      </c>
      <c r="K16" s="63">
        <f>-1*(K15/K13-1)</f>
        <v/>
      </c>
      <c r="L16" s="63" t="n"/>
      <c r="M16" s="63">
        <f>-1*(M15/M13-1)</f>
        <v/>
      </c>
      <c r="N16" s="63" t="n"/>
      <c r="P16" s="3" t="n"/>
    </row>
    <row r="17">
      <c r="A17" s="3" t="n"/>
      <c r="B17" s="40" t="inlineStr">
        <is>
          <t>EGNN w/ KD</t>
        </is>
      </c>
      <c r="C17" s="61" t="n"/>
      <c r="D17" s="62" t="n"/>
      <c r="E17" s="62" t="n"/>
      <c r="F17" s="62" t="n"/>
      <c r="G17" s="61" t="n"/>
      <c r="H17" s="61" t="n"/>
      <c r="I17" s="62" t="n"/>
      <c r="J17" s="62" t="n"/>
      <c r="K17" s="61" t="n"/>
      <c r="L17" s="62" t="n"/>
      <c r="M17" s="62" t="n"/>
      <c r="N17" s="62" t="n"/>
      <c r="P17" s="3" t="n"/>
    </row>
    <row r="18">
      <c r="A18" s="3" t="n"/>
      <c r="B18" s="45" t="inlineStr">
        <is>
          <t>EER_EGNN</t>
        </is>
      </c>
      <c r="C18" s="65" t="n"/>
      <c r="D18" s="66" t="n"/>
      <c r="E18" s="66" t="n"/>
      <c r="F18" s="66" t="n"/>
      <c r="G18" s="65" t="n"/>
      <c r="H18" s="65" t="n"/>
      <c r="I18" s="66" t="n"/>
      <c r="J18" s="66" t="n"/>
      <c r="K18" s="65" t="n"/>
      <c r="L18" s="66" t="n"/>
      <c r="M18" s="66" t="n"/>
      <c r="N18" s="66" t="n"/>
      <c r="P18" s="3" t="n"/>
    </row>
    <row r="19">
      <c r="A19" s="3" t="n"/>
      <c r="C19" s="67" t="n"/>
      <c r="G19" s="67" t="n"/>
      <c r="H19" s="67" t="n"/>
      <c r="K19" s="67" t="n"/>
      <c r="P19" s="3" t="n"/>
    </row>
    <row r="20">
      <c r="A20" s="37" t="n">
        <v>4090</v>
      </c>
      <c r="B20" s="4" t="inlineStr">
        <is>
          <t>Equiformer</t>
        </is>
      </c>
      <c r="C20" s="59" t="n">
        <v>0.067624</v>
      </c>
      <c r="D20" s="60" t="n">
        <v>46.308</v>
      </c>
      <c r="E20" s="60" t="n">
        <v>26.017</v>
      </c>
      <c r="F20" s="60" t="n">
        <v>23.681</v>
      </c>
      <c r="G20" s="59" t="n">
        <v>0.020743</v>
      </c>
      <c r="H20" s="59" t="n">
        <v>0.02733</v>
      </c>
      <c r="I20" s="60" t="n">
        <v>18.439</v>
      </c>
      <c r="J20" s="60" t="n">
        <v>16.453</v>
      </c>
      <c r="K20" s="59" t="n">
        <v>0.458278</v>
      </c>
      <c r="L20" s="60" t="n">
        <v>15.339</v>
      </c>
      <c r="M20" s="60" t="n">
        <v>23.928</v>
      </c>
      <c r="N20" s="60" t="n">
        <v>1.537</v>
      </c>
      <c r="P20" s="3" t="inlineStr">
        <is>
          <t>ICLR 2023</t>
        </is>
      </c>
    </row>
    <row r="21">
      <c r="A21" s="3" t="n"/>
      <c r="B21" s="40" t="inlineStr">
        <is>
          <t>Equiformer w/ ED</t>
        </is>
      </c>
      <c r="C21" s="61" t="n">
        <v>0.064757</v>
      </c>
      <c r="D21" s="62" t="n">
        <v>45.813</v>
      </c>
      <c r="E21" s="62" t="n">
        <v>25.492</v>
      </c>
      <c r="F21" s="62" t="n">
        <v>23.266</v>
      </c>
      <c r="G21" s="61" t="n">
        <v>0.019845</v>
      </c>
      <c r="H21" s="61" t="n">
        <v>0.026418</v>
      </c>
      <c r="I21" s="62" t="n">
        <v>15.976</v>
      </c>
      <c r="J21" s="62" t="n">
        <v>14.451</v>
      </c>
      <c r="K21" s="61" t="n">
        <v>0.439468</v>
      </c>
      <c r="L21" s="62" t="n">
        <v>15.466</v>
      </c>
      <c r="M21" s="62" t="n">
        <v>16.517</v>
      </c>
      <c r="N21" s="62" t="n">
        <v>1.529</v>
      </c>
      <c r="P21" s="3" t="n"/>
    </row>
    <row r="22">
      <c r="A22" s="3" t="n"/>
      <c r="B22" s="43" t="inlineStr">
        <is>
          <t>Impro</t>
        </is>
      </c>
      <c r="C22" s="63">
        <f>-1*(C21/C20-1)</f>
        <v/>
      </c>
      <c r="D22" s="63">
        <f>-1*(D21/D20-1)</f>
        <v/>
      </c>
      <c r="E22" s="63">
        <f>-1*(E21/E20-1)</f>
        <v/>
      </c>
      <c r="F22" s="63">
        <f>-1*(F21/F20-1)</f>
        <v/>
      </c>
      <c r="G22" s="63">
        <f>-1*(G21/G20-1)</f>
        <v/>
      </c>
      <c r="H22" s="63">
        <f>-1*(H21/H20-1)</f>
        <v/>
      </c>
      <c r="I22" s="63">
        <f>-1*(I21/I20-1)</f>
        <v/>
      </c>
      <c r="J22" s="63">
        <f>-1*(J21/J20-1)</f>
        <v/>
      </c>
      <c r="K22" s="63">
        <f>-1*(K21/K20-1)</f>
        <v/>
      </c>
      <c r="L22" s="63">
        <f>-1*(L21/L20-1)</f>
        <v/>
      </c>
      <c r="M22" s="63">
        <f>-1*(M21/M20-1)</f>
        <v/>
      </c>
      <c r="N22" s="63">
        <f>-1*(N21/N20-1)</f>
        <v/>
      </c>
      <c r="O22" s="64">
        <f>AVERAGE(C22:N22)</f>
        <v/>
      </c>
      <c r="P22" s="3" t="n"/>
    </row>
    <row r="23">
      <c r="A23" s="3" t="n"/>
      <c r="B23" s="40" t="inlineStr">
        <is>
          <t>Equiformer w/ ED and Evaluator</t>
        </is>
      </c>
      <c r="C23" s="61" t="n"/>
      <c r="D23" s="62" t="n"/>
      <c r="E23" s="62" t="n"/>
      <c r="F23" s="62" t="n"/>
      <c r="G23" s="61" t="n"/>
      <c r="H23" s="61" t="n"/>
      <c r="I23" s="62" t="n"/>
      <c r="J23" s="62" t="n"/>
      <c r="K23" s="61" t="n"/>
      <c r="L23" s="62" t="n"/>
      <c r="M23" s="62" t="n"/>
      <c r="N23" s="62" t="n"/>
      <c r="P23" s="3" t="n"/>
    </row>
    <row r="24">
      <c r="A24" s="3" t="n"/>
      <c r="B24" s="40" t="inlineStr">
        <is>
          <t>Equiformer w/ KD</t>
        </is>
      </c>
      <c r="C24" s="61" t="n"/>
      <c r="D24" s="62" t="n"/>
      <c r="E24" s="62" t="n"/>
      <c r="F24" s="62" t="n"/>
      <c r="G24" s="61" t="n"/>
      <c r="H24" s="61" t="n"/>
      <c r="I24" s="62" t="n"/>
      <c r="J24" s="62" t="n"/>
      <c r="K24" s="61" t="n"/>
      <c r="L24" s="62" t="n"/>
      <c r="M24" s="62" t="n"/>
      <c r="N24" s="62" t="n"/>
      <c r="P24" s="3" t="n"/>
    </row>
    <row r="25">
      <c r="A25" s="3" t="n"/>
      <c r="B25" s="45" t="inlineStr">
        <is>
          <t>EER_Equiformer</t>
        </is>
      </c>
      <c r="C25" s="65" t="n"/>
      <c r="D25" s="66" t="n"/>
      <c r="E25" s="66" t="n"/>
      <c r="F25" s="66" t="n"/>
      <c r="G25" s="65" t="n"/>
      <c r="H25" s="65" t="n"/>
      <c r="I25" s="66" t="n"/>
      <c r="J25" s="66" t="n"/>
      <c r="K25" s="65" t="n"/>
      <c r="L25" s="66" t="n"/>
      <c r="M25" s="66" t="n"/>
      <c r="N25" s="66" t="n"/>
      <c r="P25" s="3" t="n"/>
    </row>
    <row r="26">
      <c r="A26" s="3" t="n"/>
      <c r="C26" s="67" t="n"/>
      <c r="G26" s="67" t="n"/>
      <c r="H26" s="67" t="n"/>
      <c r="K26" s="67" t="n"/>
      <c r="P26" s="3" t="n"/>
    </row>
    <row r="27">
      <c r="A27" s="37" t="inlineStr">
        <is>
          <t>105服务器</t>
        </is>
      </c>
      <c r="B27" s="4" t="inlineStr">
        <is>
          <t>SphereNet</t>
        </is>
      </c>
      <c r="C27" s="59" t="n">
        <v>0.0467</v>
      </c>
      <c r="D27" s="60" t="n">
        <v>40.129</v>
      </c>
      <c r="E27" s="60" t="n">
        <v>22.007</v>
      </c>
      <c r="F27" s="60" t="n">
        <v>19.435</v>
      </c>
      <c r="G27" s="59" t="n">
        <v>0.026886</v>
      </c>
      <c r="H27" s="59" t="n">
        <v>0.024373</v>
      </c>
      <c r="I27" s="60" t="n">
        <v>7.875</v>
      </c>
      <c r="J27" s="60" t="n">
        <v>7.199</v>
      </c>
      <c r="K27" s="59" t="n">
        <v>0.258213</v>
      </c>
      <c r="L27" s="60" t="n">
        <v>6.999</v>
      </c>
      <c r="M27" s="60" t="n">
        <v>6.641</v>
      </c>
      <c r="N27" s="60" t="n">
        <v>1.253</v>
      </c>
      <c r="P27" s="3" t="inlineStr">
        <is>
          <t>ICLR 2022</t>
        </is>
      </c>
    </row>
    <row r="28">
      <c r="A28" s="3" t="n"/>
      <c r="B28" s="40" t="inlineStr">
        <is>
          <t>SphereNet w/ ED</t>
        </is>
      </c>
      <c r="C28" s="61" t="n">
        <v>0.045919</v>
      </c>
      <c r="D28" s="62" t="n">
        <v>39.694</v>
      </c>
      <c r="E28" s="62" t="n">
        <v>21.842</v>
      </c>
      <c r="F28" s="62" t="n">
        <v>19.014</v>
      </c>
      <c r="G28" s="61" t="n">
        <v>0.026481</v>
      </c>
      <c r="H28" s="61" t="n">
        <v>0.02376</v>
      </c>
      <c r="I28" s="62" t="n">
        <v>7.769</v>
      </c>
      <c r="J28" s="62" t="n">
        <v>6.283</v>
      </c>
      <c r="K28" s="61" t="n">
        <v>0.249351</v>
      </c>
      <c r="L28" s="62" t="n">
        <v>6.502</v>
      </c>
      <c r="M28" s="62" t="n">
        <v>6.101</v>
      </c>
      <c r="N28" s="62" t="n">
        <v>1.206</v>
      </c>
      <c r="P28" s="3" t="n"/>
    </row>
    <row r="29">
      <c r="A29" s="3" t="n"/>
      <c r="B29" s="43" t="inlineStr">
        <is>
          <t>Impro</t>
        </is>
      </c>
      <c r="C29" s="63">
        <f>-1*(C28/C27-1)</f>
        <v/>
      </c>
      <c r="D29" s="63">
        <f>-1*(D28/D27-1)</f>
        <v/>
      </c>
      <c r="E29" s="63">
        <f>-1*(E28/E27-1)</f>
        <v/>
      </c>
      <c r="F29" s="63">
        <f>-1*(F28/F27-1)</f>
        <v/>
      </c>
      <c r="G29" s="63">
        <f>-1*(G28/G27-1)</f>
        <v/>
      </c>
      <c r="H29" s="63">
        <f>-1*(H28/H27-1)</f>
        <v/>
      </c>
      <c r="I29" s="63">
        <f>-1*(I28/I27-1)</f>
        <v/>
      </c>
      <c r="J29" s="63">
        <f>-1*(J28/J27-1)</f>
        <v/>
      </c>
      <c r="K29" s="63">
        <f>-1*(K28/K27-1)</f>
        <v/>
      </c>
      <c r="L29" s="63">
        <f>-1*(L28/L27-1)</f>
        <v/>
      </c>
      <c r="M29" s="63">
        <f>-1*(M28/M27-1)</f>
        <v/>
      </c>
      <c r="N29" s="63">
        <f>-1*(N28/N27-1)</f>
        <v/>
      </c>
      <c r="O29" s="64">
        <f>AVERAGE(C29:N29)</f>
        <v/>
      </c>
      <c r="P29" s="3" t="n"/>
    </row>
    <row r="30">
      <c r="A30" s="3" t="n"/>
      <c r="B30" s="40" t="inlineStr">
        <is>
          <t>SphereNet w/ ED and Evaluator</t>
        </is>
      </c>
      <c r="C30" s="61" t="n"/>
      <c r="D30" s="62" t="n"/>
      <c r="E30" s="62" t="n"/>
      <c r="F30" s="62" t="n"/>
      <c r="G30" s="61" t="n"/>
      <c r="H30" s="61" t="n"/>
      <c r="I30" s="62" t="n"/>
      <c r="J30" s="62" t="n"/>
      <c r="K30" s="61" t="n"/>
      <c r="L30" s="62" t="n"/>
      <c r="M30" s="62" t="n"/>
      <c r="N30" s="62" t="n"/>
      <c r="P30" s="3" t="n"/>
    </row>
    <row r="31">
      <c r="A31" s="3" t="n"/>
      <c r="B31" s="40" t="inlineStr">
        <is>
          <t>SphereNet w/ KD</t>
        </is>
      </c>
      <c r="C31" s="61" t="n"/>
      <c r="D31" s="62" t="n"/>
      <c r="E31" s="62" t="n"/>
      <c r="F31" s="62" t="n"/>
      <c r="G31" s="61" t="n"/>
      <c r="H31" s="61" t="n"/>
      <c r="I31" s="62" t="n"/>
      <c r="J31" s="62" t="n"/>
      <c r="K31" s="61" t="n"/>
      <c r="L31" s="62" t="n"/>
      <c r="M31" s="62" t="n"/>
      <c r="N31" s="62" t="n"/>
      <c r="P31" s="3" t="n"/>
    </row>
    <row r="32">
      <c r="A32" s="3" t="n"/>
      <c r="B32" s="45" t="inlineStr">
        <is>
          <t>EER_SphereNet</t>
        </is>
      </c>
      <c r="C32" s="65" t="n"/>
      <c r="D32" s="66" t="n"/>
      <c r="E32" s="66" t="n"/>
      <c r="F32" s="66" t="n"/>
      <c r="G32" s="65" t="n"/>
      <c r="H32" s="65" t="n"/>
      <c r="I32" s="66" t="n"/>
      <c r="J32" s="66" t="n"/>
      <c r="K32" s="65" t="n"/>
      <c r="L32" s="66" t="n"/>
      <c r="M32" s="66" t="n"/>
      <c r="N32" s="66" t="n"/>
      <c r="P32" s="3" t="n"/>
    </row>
  </sheetData>
  <mergeCells count="1">
    <mergeCell ref="B3:B4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5:AE37"/>
  <sheetViews>
    <sheetView workbookViewId="0">
      <selection activeCell="O10" sqref="O10"/>
    </sheetView>
  </sheetViews>
  <sheetFormatPr baseColWidth="8" defaultColWidth="9" defaultRowHeight="14"/>
  <cols>
    <col width="9" customWidth="1" style="5" min="1" max="2"/>
    <col width="34.7545454545455" customWidth="1" style="5" min="3" max="3"/>
    <col width="13.5" customWidth="1" style="5" min="4" max="14"/>
    <col width="9" customWidth="1" style="5" min="15" max="16384"/>
  </cols>
  <sheetData>
    <row r="5">
      <c r="C5" s="6" t="inlineStr">
        <is>
          <t>Model</t>
        </is>
      </c>
      <c r="D5" s="6" t="inlineStr">
        <is>
          <t>Energy/Force</t>
        </is>
      </c>
      <c r="E5" s="6" t="inlineStr">
        <is>
          <t>Aspirin ↓</t>
        </is>
      </c>
      <c r="F5" s="6" t="inlineStr">
        <is>
          <t>Azobenzene ↓</t>
        </is>
      </c>
      <c r="G5" s="6" t="inlineStr">
        <is>
          <t>Benzene ↓</t>
        </is>
      </c>
      <c r="H5" s="6" t="inlineStr">
        <is>
          <t>Ethanol ↓</t>
        </is>
      </c>
      <c r="I5" s="6" t="inlineStr">
        <is>
          <t>Malonaldehyde ↓</t>
        </is>
      </c>
      <c r="J5" s="6" t="inlineStr">
        <is>
          <t>Naphthalene ↓</t>
        </is>
      </c>
      <c r="K5" s="6" t="inlineStr">
        <is>
          <t>Paracetamol ↓</t>
        </is>
      </c>
      <c r="L5" s="6" t="inlineStr">
        <is>
          <t>Salicylic ↓</t>
        </is>
      </c>
      <c r="M5" s="6" t="inlineStr">
        <is>
          <t>Toluene ↓</t>
        </is>
      </c>
      <c r="N5" s="6" t="inlineStr">
        <is>
          <t>Uracil ↓</t>
        </is>
      </c>
      <c r="O5" s="5" t="inlineStr">
        <is>
          <t>AVG</t>
        </is>
      </c>
    </row>
    <row r="6">
      <c r="C6" s="69" t="inlineStr">
        <is>
          <t>SchNet</t>
        </is>
      </c>
      <c r="D6" s="70" t="inlineStr">
        <is>
          <t>Energy</t>
        </is>
      </c>
      <c r="E6" s="70" t="n">
        <v>0.739094</v>
      </c>
      <c r="F6" s="70" t="n">
        <v>0.396781</v>
      </c>
      <c r="G6" s="70" t="n">
        <v>0.020516</v>
      </c>
      <c r="H6" s="70" t="n">
        <v>0.125156</v>
      </c>
      <c r="I6" s="70" t="n">
        <v>0.161422</v>
      </c>
      <c r="J6" s="70" t="n">
        <v>0.211578</v>
      </c>
      <c r="K6" s="70" t="n">
        <v>0.370969</v>
      </c>
      <c r="L6" s="70" t="n">
        <v>0.190781</v>
      </c>
      <c r="M6" s="70" t="n">
        <v>0.207969</v>
      </c>
      <c r="N6" s="70" t="n">
        <v>0.078719</v>
      </c>
      <c r="P6" s="9" t="inlineStr">
        <is>
          <t>重新跑</t>
        </is>
      </c>
      <c r="R6" s="70" t="inlineStr">
        <is>
          <t>Energy</t>
        </is>
      </c>
      <c r="S6" s="70" t="n">
        <v>0.312906</v>
      </c>
      <c r="T6" s="70" t="n">
        <v>0.366406</v>
      </c>
      <c r="U6" s="70" t="n">
        <v>0.017812</v>
      </c>
      <c r="V6" s="70" t="n">
        <v>0.136602</v>
      </c>
      <c r="W6" s="70" t="n">
        <v>0.1915</v>
      </c>
      <c r="X6" s="70" t="n">
        <v>0.07917200000000001</v>
      </c>
      <c r="Y6" s="70" t="n">
        <v>0.340469</v>
      </c>
      <c r="Z6" s="70" t="n">
        <v>0.285844</v>
      </c>
      <c r="AA6" s="70" t="n">
        <v>0.261953</v>
      </c>
      <c r="AB6" s="70" t="n">
        <v>0.095109</v>
      </c>
    </row>
    <row r="7">
      <c r="C7" s="58" t="n"/>
      <c r="D7" s="70" t="inlineStr">
        <is>
          <t>Force</t>
        </is>
      </c>
      <c r="E7" s="70" t="n">
        <v>1.042453</v>
      </c>
      <c r="F7" s="70" t="n">
        <v>0.900817</v>
      </c>
      <c r="G7" s="70" t="n">
        <v>0.185694</v>
      </c>
      <c r="H7" s="70" t="n">
        <v>0.385189</v>
      </c>
      <c r="I7" s="70" t="n">
        <v>0.655355</v>
      </c>
      <c r="J7" s="70" t="n">
        <v>0.398511</v>
      </c>
      <c r="K7" s="70" t="n">
        <v>0.82544</v>
      </c>
      <c r="L7" s="70" t="n">
        <v>0.774865</v>
      </c>
      <c r="M7" s="70" t="n">
        <v>0.483219</v>
      </c>
      <c r="N7" s="70" t="n">
        <v>0.513994</v>
      </c>
      <c r="R7" s="70" t="inlineStr">
        <is>
          <t>Force</t>
        </is>
      </c>
      <c r="S7" s="70" t="n">
        <v>1.047379</v>
      </c>
      <c r="T7" s="70" t="n">
        <v>0.90293</v>
      </c>
      <c r="U7" s="70" t="n">
        <v>0.169321</v>
      </c>
      <c r="V7" s="70" t="n">
        <v>0.381767</v>
      </c>
      <c r="W7" s="70" t="n">
        <v>0.656238</v>
      </c>
      <c r="X7" s="70" t="n">
        <v>0.394806</v>
      </c>
      <c r="Y7" s="70" t="n">
        <v>0.838934</v>
      </c>
      <c r="Z7" s="70" t="n">
        <v>0.747132</v>
      </c>
      <c r="AA7" s="70" t="n">
        <v>0.485465</v>
      </c>
      <c r="AB7" s="70" t="n">
        <v>0.52274</v>
      </c>
    </row>
    <row r="8">
      <c r="C8" s="22" t="inlineStr">
        <is>
          <t>SchNet w/ ED</t>
        </is>
      </c>
      <c r="D8" s="71" t="inlineStr">
        <is>
          <t>Energy</t>
        </is>
      </c>
      <c r="E8" s="71" t="n">
        <v>0.35525</v>
      </c>
      <c r="F8" s="71" t="n">
        <v>0.334406</v>
      </c>
      <c r="G8" s="71" t="n">
        <v>0.017109</v>
      </c>
      <c r="H8" s="71" t="n">
        <v>0.060609</v>
      </c>
      <c r="I8" s="71" t="n">
        <v>0.111813</v>
      </c>
      <c r="J8" s="71" t="n">
        <v>0.073375</v>
      </c>
      <c r="K8" s="71" t="n">
        <v>0.283031</v>
      </c>
      <c r="L8" s="71" t="n">
        <v>0.156969</v>
      </c>
      <c r="M8" s="71" t="n">
        <v>0.087797</v>
      </c>
      <c r="N8" s="71" t="n">
        <v>0.07432800000000001</v>
      </c>
    </row>
    <row r="9">
      <c r="C9" s="58" t="n"/>
      <c r="D9" s="72" t="inlineStr">
        <is>
          <t>Force</t>
        </is>
      </c>
      <c r="E9" s="71" t="n">
        <v>1.049101</v>
      </c>
      <c r="F9" s="71" t="n">
        <v>0.916919</v>
      </c>
      <c r="G9" s="71" t="n">
        <v>0.171125</v>
      </c>
      <c r="H9" s="71" t="n">
        <v>0.379008</v>
      </c>
      <c r="I9" s="71" t="n">
        <v>0.64678</v>
      </c>
      <c r="J9" s="71" t="n">
        <v>0.395094</v>
      </c>
      <c r="K9" s="71" t="n">
        <v>0.83296</v>
      </c>
      <c r="L9" s="71" t="n">
        <v>0.743083</v>
      </c>
      <c r="M9" s="71" t="n">
        <v>0.477895</v>
      </c>
      <c r="N9" s="71" t="n">
        <v>0.5078279999999999</v>
      </c>
    </row>
    <row r="10">
      <c r="C10" s="73" t="inlineStr">
        <is>
          <t>Impro</t>
        </is>
      </c>
      <c r="D10" s="74" t="inlineStr">
        <is>
          <t>Energy</t>
        </is>
      </c>
      <c r="E10" s="63">
        <f>-1*(E8/E6-1)</f>
        <v/>
      </c>
      <c r="F10" s="63">
        <f>-1*(F8/F6-1)</f>
        <v/>
      </c>
      <c r="G10" s="63">
        <f>-1*(G8/G6-1)</f>
        <v/>
      </c>
      <c r="H10" s="63">
        <f>-1*(H8/H6-1)</f>
        <v/>
      </c>
      <c r="I10" s="63">
        <f>-1*(I8/I6-1)</f>
        <v/>
      </c>
      <c r="J10" s="63">
        <f>-1*(J8/J6-1)</f>
        <v/>
      </c>
      <c r="K10" s="63">
        <f>-1*(K8/K6-1)</f>
        <v/>
      </c>
      <c r="L10" s="75">
        <f>-1*(L8/L6-1)</f>
        <v/>
      </c>
      <c r="M10" s="63">
        <f>-1*(M8/M6-1)</f>
        <v/>
      </c>
      <c r="N10" s="63">
        <f>-1*(N8/N6-1)</f>
        <v/>
      </c>
      <c r="O10" s="76">
        <f>AVERAGE(E10:N10)</f>
        <v/>
      </c>
    </row>
    <row r="11">
      <c r="C11" s="58" t="n"/>
      <c r="D11" s="74" t="inlineStr">
        <is>
          <t>Force</t>
        </is>
      </c>
      <c r="E11" s="77">
        <f>-1*(E9/E7-1)</f>
        <v/>
      </c>
      <c r="F11" s="77">
        <f>-1*(F9/F7-1)</f>
        <v/>
      </c>
      <c r="G11" s="63">
        <f>-1*(G9/G7-1)</f>
        <v/>
      </c>
      <c r="H11" s="63">
        <f>-1*(H9/H7-1)</f>
        <v/>
      </c>
      <c r="I11" s="63">
        <f>-1*(I9/I7-1)</f>
        <v/>
      </c>
      <c r="J11" s="63">
        <f>-1*(J9/J7-1)</f>
        <v/>
      </c>
      <c r="K11" s="77">
        <f>-1*(K9/K7-1)</f>
        <v/>
      </c>
      <c r="L11" s="75">
        <f>-1*(L9/L7-1)</f>
        <v/>
      </c>
      <c r="M11" s="63">
        <f>-1*(M9/M7-1)</f>
        <v/>
      </c>
      <c r="N11" s="63">
        <f>-1*(N9/N7-1)</f>
        <v/>
      </c>
      <c r="O11" s="76">
        <f>AVERAGE(E11:N11)</f>
        <v/>
      </c>
    </row>
    <row r="12">
      <c r="C12" s="22" t="inlineStr">
        <is>
          <t>SchNet w/ ED and Evaluator (mean_std)</t>
        </is>
      </c>
      <c r="D12" s="71" t="inlineStr">
        <is>
          <t>Energy</t>
        </is>
      </c>
      <c r="E12" s="71" t="n">
        <v>0.30625</v>
      </c>
      <c r="F12" s="71" t="n">
        <v>0.30013</v>
      </c>
      <c r="G12" s="71" t="n">
        <v>0.01683</v>
      </c>
      <c r="H12" s="71" t="n">
        <v>0.06056</v>
      </c>
      <c r="I12" s="71" t="n">
        <v>0.10733</v>
      </c>
      <c r="J12" s="71" t="n">
        <v>0.07069</v>
      </c>
      <c r="K12" s="71" t="n">
        <v>0.19075</v>
      </c>
      <c r="L12" s="71" t="n">
        <v>0.15447</v>
      </c>
      <c r="M12" s="71" t="n">
        <v>0.08319</v>
      </c>
      <c r="N12" s="71" t="n">
        <v>0.07598000000000001</v>
      </c>
      <c r="Q12" s="5" t="inlineStr">
        <is>
          <t>batch = 1 只能使用全局的来指导，不能使用局部</t>
        </is>
      </c>
    </row>
    <row r="13">
      <c r="C13" s="58" t="n"/>
      <c r="D13" s="71" t="inlineStr">
        <is>
          <t>Force</t>
        </is>
      </c>
      <c r="E13" s="71" t="n">
        <v>1.0517</v>
      </c>
      <c r="F13" s="71" t="n">
        <v>0.89131</v>
      </c>
      <c r="G13" s="71" t="n">
        <v>0.16655</v>
      </c>
      <c r="H13" s="71" t="n">
        <v>0.37584</v>
      </c>
      <c r="I13" s="71" t="n">
        <v>0.63879</v>
      </c>
      <c r="J13" s="71" t="n">
        <v>0.38576</v>
      </c>
      <c r="K13" s="71" t="n">
        <v>0.77857</v>
      </c>
      <c r="L13" s="71" t="n">
        <v>0.74746</v>
      </c>
      <c r="M13" s="71" t="n">
        <v>0.47876</v>
      </c>
      <c r="N13" s="71" t="n">
        <v>0.5411899999999999</v>
      </c>
    </row>
    <row r="14">
      <c r="C14" s="73" t="inlineStr">
        <is>
          <t>Impro</t>
        </is>
      </c>
      <c r="D14" s="74" t="inlineStr">
        <is>
          <t>Energy</t>
        </is>
      </c>
      <c r="E14" s="63">
        <f>-1*(E12/E8-1)</f>
        <v/>
      </c>
      <c r="F14" s="63">
        <f>-1*(F12/F8-1)</f>
        <v/>
      </c>
      <c r="G14" s="63">
        <f>-1*(G12/G8-1)</f>
        <v/>
      </c>
      <c r="H14" s="63">
        <f>-1*(H12/H8-1)</f>
        <v/>
      </c>
      <c r="I14" s="63">
        <f>-1*(I12/I8-1)</f>
        <v/>
      </c>
      <c r="J14" s="63">
        <f>-1*(J12/J8-1)</f>
        <v/>
      </c>
      <c r="K14" s="63">
        <f>-1*(K12/K8-1)</f>
        <v/>
      </c>
      <c r="L14" s="63">
        <f>-1*(L12/L8-1)</f>
        <v/>
      </c>
      <c r="M14" s="63">
        <f>-1*(M12/M8-1)</f>
        <v/>
      </c>
      <c r="N14" s="74">
        <f>-1*(N12/N8-1)</f>
        <v/>
      </c>
      <c r="O14" s="76">
        <f>AVERAGE(E14:N14)</f>
        <v/>
      </c>
    </row>
    <row r="15">
      <c r="C15" s="58" t="n"/>
      <c r="D15" s="74" t="inlineStr">
        <is>
          <t>Force</t>
        </is>
      </c>
      <c r="E15" s="77">
        <f>-1*(E13/E9-1)</f>
        <v/>
      </c>
      <c r="F15" s="63">
        <f>-1*(F13/F9-1)</f>
        <v/>
      </c>
      <c r="G15" s="63">
        <f>-1*(G13/G9-1)</f>
        <v/>
      </c>
      <c r="H15" s="63">
        <f>-1*(H13/H9-1)</f>
        <v/>
      </c>
      <c r="I15" s="63">
        <f>-1*(I13/I9-1)</f>
        <v/>
      </c>
      <c r="J15" s="63">
        <f>-1*(J13/J9-1)</f>
        <v/>
      </c>
      <c r="K15" s="63">
        <f>-1*(K13/K9-1)</f>
        <v/>
      </c>
      <c r="L15" s="77">
        <f>-1*(L13/L9-1)</f>
        <v/>
      </c>
      <c r="M15" s="77">
        <f>-1*(M13/M9-1)</f>
        <v/>
      </c>
      <c r="N15" s="74">
        <f>-1*(N13/N9-1)</f>
        <v/>
      </c>
      <c r="O15" s="76">
        <f>AVERAGE(E15:N15)</f>
        <v/>
      </c>
    </row>
    <row r="16">
      <c r="C16" s="22" t="inlineStr">
        <is>
          <t>SchNet w/ KD</t>
        </is>
      </c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</row>
    <row r="17">
      <c r="C17" s="23" t="inlineStr">
        <is>
          <t>EER_SchNet</t>
        </is>
      </c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N17" s="78" t="n"/>
    </row>
    <row r="18">
      <c r="E18" s="79" t="n"/>
      <c r="F18" s="79" t="n"/>
      <c r="G18" s="79" t="n"/>
      <c r="H18" s="79" t="n"/>
      <c r="I18" s="79" t="n"/>
      <c r="J18" s="79" t="n"/>
      <c r="K18" s="79" t="n"/>
      <c r="L18" s="79" t="n"/>
      <c r="M18" s="79" t="n"/>
      <c r="N18" s="79" t="n"/>
      <c r="V18" s="26" t="inlineStr">
        <is>
          <t>之前跑的，数据丢了</t>
        </is>
      </c>
      <c r="W18" s="80" t="n"/>
      <c r="X18" s="80" t="n"/>
    </row>
    <row r="19">
      <c r="C19" s="69" t="inlineStr">
        <is>
          <t>ViSNet</t>
        </is>
      </c>
      <c r="D19" s="70" t="inlineStr">
        <is>
          <t>Energy</t>
        </is>
      </c>
      <c r="E19" s="70" t="n">
        <v>0.05547</v>
      </c>
      <c r="F19" s="70" t="n">
        <v>0.02081</v>
      </c>
      <c r="G19" s="70" t="n">
        <v>0.00627</v>
      </c>
      <c r="H19" s="70" t="n">
        <v>0.01095</v>
      </c>
      <c r="I19" s="70" t="n">
        <v>0.01517</v>
      </c>
      <c r="J19" s="70" t="n">
        <v>0.01313</v>
      </c>
      <c r="K19" s="70" t="n">
        <v>0.027</v>
      </c>
      <c r="L19" s="70" t="n">
        <v>0.01966</v>
      </c>
      <c r="M19" s="70" t="n">
        <v>0.01089</v>
      </c>
      <c r="N19" s="70" t="n">
        <v>0.01238</v>
      </c>
      <c r="O19" s="5" t="inlineStr">
        <is>
          <t>NC 2024</t>
        </is>
      </c>
      <c r="S19" s="9" t="inlineStr">
        <is>
          <t>训练一次跑1天，跑的时候，先调4个超参数</t>
        </is>
      </c>
      <c r="V19" s="70" t="n">
        <v>0.0475</v>
      </c>
      <c r="W19" s="70" t="n">
        <v>0.014844</v>
      </c>
      <c r="X19" s="70" t="n">
        <v>0.006562</v>
      </c>
      <c r="Y19" s="70" t="n">
        <v>0.010641</v>
      </c>
      <c r="Z19" s="70" t="n">
        <v>0.014234</v>
      </c>
      <c r="AA19" s="70" t="n">
        <v>0.013125</v>
      </c>
      <c r="AB19" s="70" t="n">
        <v>0.027</v>
      </c>
      <c r="AC19" s="70" t="n">
        <v>0.022719</v>
      </c>
      <c r="AD19" s="70" t="n">
        <v>0.009280999999999999</v>
      </c>
      <c r="AE19" s="70" t="n">
        <v>0.011984</v>
      </c>
    </row>
    <row r="20">
      <c r="C20" s="58" t="n"/>
      <c r="D20" s="70" t="inlineStr">
        <is>
          <t>Force</t>
        </is>
      </c>
      <c r="E20" s="70" t="n">
        <v>0.15164</v>
      </c>
      <c r="F20" s="70" t="n">
        <v>0.05729</v>
      </c>
      <c r="G20" s="70" t="n">
        <v>0.00656</v>
      </c>
      <c r="H20" s="70" t="n">
        <v>0.05688</v>
      </c>
      <c r="I20" s="70" t="n">
        <v>0.09275</v>
      </c>
      <c r="J20" s="70" t="n">
        <v>0.02808</v>
      </c>
      <c r="K20" s="70" t="n">
        <v>0.10488</v>
      </c>
      <c r="L20" s="70" t="n">
        <v>0.08348</v>
      </c>
      <c r="M20" s="70" t="n">
        <v>0.0298</v>
      </c>
      <c r="N20" s="70" t="n">
        <v>0.05252</v>
      </c>
      <c r="V20" s="70" t="n">
        <v>0.148145</v>
      </c>
      <c r="W20" s="70" t="n">
        <v>0.057004</v>
      </c>
      <c r="X20" s="70" t="n">
        <v>0.006757</v>
      </c>
      <c r="Y20" s="70" t="n">
        <v>0.055608</v>
      </c>
      <c r="Z20" s="70" t="n">
        <v>0.089559</v>
      </c>
      <c r="AA20" s="70" t="n">
        <v>0.028075</v>
      </c>
      <c r="AB20" s="70" t="n">
        <v>0.10488</v>
      </c>
      <c r="AC20" s="70" t="n">
        <v>0.08104600000000001</v>
      </c>
      <c r="AD20" s="70" t="n">
        <v>0.028415</v>
      </c>
      <c r="AE20" s="70" t="n">
        <v>0.051765</v>
      </c>
    </row>
    <row r="21">
      <c r="C21" s="22" t="inlineStr">
        <is>
          <t>ViSNet w/ ED</t>
        </is>
      </c>
      <c r="D21" s="71" t="inlineStr">
        <is>
          <t>Energy</t>
        </is>
      </c>
      <c r="E21" s="71" t="n">
        <v>0.0465</v>
      </c>
      <c r="F21" s="71" t="n">
        <v>0.01838</v>
      </c>
      <c r="G21" s="71" t="n">
        <v>0.00616</v>
      </c>
      <c r="H21" s="71" t="n">
        <v>0.009900000000000001</v>
      </c>
      <c r="I21" s="71" t="n">
        <v>0.01395</v>
      </c>
      <c r="J21" s="71" t="n">
        <v>0.01178</v>
      </c>
      <c r="K21" s="71" t="n">
        <v>0.02491</v>
      </c>
      <c r="L21" s="71" t="n">
        <v>0.01906</v>
      </c>
      <c r="M21" s="71" t="n">
        <v>0.009979999999999999</v>
      </c>
      <c r="N21" s="71" t="n">
        <v>0.01188</v>
      </c>
      <c r="V21" s="71" t="n">
        <v>0.046563</v>
      </c>
      <c r="W21" s="71" t="n"/>
      <c r="X21" s="71" t="n"/>
      <c r="Y21" s="71" t="n"/>
      <c r="Z21" s="71" t="n"/>
      <c r="AA21" s="71" t="n">
        <v>0.009187000000000001</v>
      </c>
      <c r="AB21" s="71" t="n"/>
      <c r="AC21" s="71" t="n">
        <v>0.021469</v>
      </c>
      <c r="AD21" s="71" t="n">
        <v>0.008734</v>
      </c>
      <c r="AE21" s="71" t="n"/>
    </row>
    <row r="22">
      <c r="C22" s="58" t="n"/>
      <c r="D22" s="72" t="inlineStr">
        <is>
          <t>Force</t>
        </is>
      </c>
      <c r="E22" s="71" t="n">
        <v>0.14996</v>
      </c>
      <c r="F22" s="71" t="n">
        <v>0.05691</v>
      </c>
      <c r="G22" s="71" t="n">
        <v>0.00647</v>
      </c>
      <c r="H22" s="71" t="n">
        <v>0.05558</v>
      </c>
      <c r="I22" s="71" t="n">
        <v>0.08992</v>
      </c>
      <c r="J22" s="71" t="n">
        <v>0.02798</v>
      </c>
      <c r="K22" s="71" t="n">
        <v>0.10599</v>
      </c>
      <c r="L22" s="71" t="n">
        <v>0.08107</v>
      </c>
      <c r="M22" s="71" t="n">
        <v>0.0278</v>
      </c>
      <c r="N22" s="71" t="n">
        <v>0.051</v>
      </c>
      <c r="V22" s="71" t="n">
        <v>0.148277</v>
      </c>
      <c r="W22" s="71" t="n"/>
      <c r="X22" s="71" t="n"/>
      <c r="Y22" s="71" t="n"/>
      <c r="Z22" s="71" t="n"/>
      <c r="AA22" s="71" t="n">
        <v>0.028398</v>
      </c>
      <c r="AB22" s="71" t="n"/>
      <c r="AC22" s="71" t="n">
        <v>0.080391</v>
      </c>
      <c r="AD22" s="71" t="n">
        <v>0.027959</v>
      </c>
      <c r="AE22" s="71" t="n"/>
    </row>
    <row r="23">
      <c r="C23" s="73" t="inlineStr">
        <is>
          <t>Impro</t>
        </is>
      </c>
      <c r="D23" s="74" t="inlineStr">
        <is>
          <t>Energy</t>
        </is>
      </c>
      <c r="E23" s="63">
        <f>-1*(E21/E19-1)</f>
        <v/>
      </c>
      <c r="F23" s="63">
        <f>-1*(F21/F19-1)</f>
        <v/>
      </c>
      <c r="G23" s="63">
        <f>-1*(G21/G19-1)</f>
        <v/>
      </c>
      <c r="H23" s="63">
        <f>-1*(H21/H19-1)</f>
        <v/>
      </c>
      <c r="I23" s="63">
        <f>-1*(I21/I19-1)</f>
        <v/>
      </c>
      <c r="J23" s="63">
        <f>-1*(J21/J19-1)</f>
        <v/>
      </c>
      <c r="K23" s="63">
        <f>-1*(K21/K19-1)</f>
        <v/>
      </c>
      <c r="L23" s="63">
        <f>-1*(L21/L19-1)</f>
        <v/>
      </c>
      <c r="M23" s="63">
        <f>-1*(M21/M19-1)</f>
        <v/>
      </c>
      <c r="N23" s="63">
        <f>-1*(N21/N19-1)</f>
        <v/>
      </c>
      <c r="O23" s="76">
        <f>AVERAGE(E23:N23)</f>
        <v/>
      </c>
      <c r="V23" s="63">
        <f>-1*(V21/V19-1)</f>
        <v/>
      </c>
      <c r="W23" s="81" t="n"/>
      <c r="X23" s="81" t="n"/>
      <c r="Y23" s="81" t="n"/>
      <c r="Z23" s="81" t="n"/>
      <c r="AA23" s="63">
        <f>-1*(AA21/AA19-1)</f>
        <v/>
      </c>
      <c r="AB23" s="81" t="n"/>
      <c r="AC23" s="63">
        <f>-1*(AC21/AC19-1)</f>
        <v/>
      </c>
      <c r="AD23" s="63">
        <f>-1*(AD21/AD19-1)</f>
        <v/>
      </c>
      <c r="AE23" s="81" t="n"/>
    </row>
    <row r="24">
      <c r="C24" s="58" t="n"/>
      <c r="D24" s="74" t="inlineStr">
        <is>
          <t>Force</t>
        </is>
      </c>
      <c r="E24" s="75">
        <f>-1*(E22/E20-1)</f>
        <v/>
      </c>
      <c r="F24" s="77">
        <f>-1*(F22/F20-1)</f>
        <v/>
      </c>
      <c r="G24" s="63">
        <f>-1*(G22/G20-1)</f>
        <v/>
      </c>
      <c r="H24" s="63">
        <f>-1*(H22/H20-1)</f>
        <v/>
      </c>
      <c r="I24" s="63">
        <f>-1*(I22/I20-1)</f>
        <v/>
      </c>
      <c r="J24" s="63">
        <f>-1*(J22/J20-1)</f>
        <v/>
      </c>
      <c r="K24" s="63">
        <f>-1*(K22/K20-1)</f>
        <v/>
      </c>
      <c r="L24" s="63">
        <f>-1*(L22/L20-1)</f>
        <v/>
      </c>
      <c r="M24" s="63">
        <f>-1*(M22/M20-1)</f>
        <v/>
      </c>
      <c r="N24" s="63">
        <f>-1*(N22/N20-1)</f>
        <v/>
      </c>
      <c r="O24" s="76">
        <f>AVERAGE(E24:N24)</f>
        <v/>
      </c>
      <c r="V24" s="77">
        <f>-1*(V22/V20-1)</f>
        <v/>
      </c>
      <c r="W24" s="81" t="n"/>
      <c r="X24" s="81" t="n"/>
      <c r="Y24" s="81" t="n"/>
      <c r="Z24" s="81" t="n"/>
      <c r="AA24" s="63">
        <f>-1*(AA22/AA20-1)</f>
        <v/>
      </c>
      <c r="AB24" s="81" t="n"/>
      <c r="AC24" s="63">
        <f>-1*(AC22/AC20-1)</f>
        <v/>
      </c>
      <c r="AD24" s="63">
        <f>-1*(AD22/AD20-1)</f>
        <v/>
      </c>
      <c r="AE24" s="81" t="n"/>
    </row>
    <row r="25">
      <c r="C25" s="22" t="inlineStr">
        <is>
          <t>ViSNet w/ ED and Evaluator (mean_std)</t>
        </is>
      </c>
      <c r="D25" s="71" t="inlineStr">
        <is>
          <t>Energy</t>
        </is>
      </c>
      <c r="E25" s="71" t="n">
        <v>0.04541</v>
      </c>
      <c r="F25" s="71" t="n">
        <v>0.01588</v>
      </c>
      <c r="G25" s="71" t="n">
        <v>0.00572</v>
      </c>
      <c r="H25" s="71" t="n">
        <v>0.00958</v>
      </c>
      <c r="I25" s="71" t="n">
        <v>0.01367</v>
      </c>
      <c r="J25" s="71" t="n">
        <v>0.009299999999999999</v>
      </c>
      <c r="K25" s="71" t="n">
        <v>0.02369</v>
      </c>
      <c r="L25" s="71" t="n">
        <v>0.01547</v>
      </c>
      <c r="M25" s="71" t="n">
        <v>0.007979999999999999</v>
      </c>
      <c r="N25" s="71" t="n">
        <v>0.01192</v>
      </c>
    </row>
    <row r="26">
      <c r="C26" s="58" t="n"/>
      <c r="D26" s="71" t="inlineStr">
        <is>
          <t>Force</t>
        </is>
      </c>
      <c r="E26" s="71" t="n">
        <v>0.14813</v>
      </c>
      <c r="F26" s="71" t="n">
        <v>0.05712</v>
      </c>
      <c r="G26" s="71" t="n">
        <v>0.00619</v>
      </c>
      <c r="H26" s="71" t="n">
        <v>0.05508</v>
      </c>
      <c r="I26" s="71" t="n">
        <v>0.08909</v>
      </c>
      <c r="J26" s="71" t="n">
        <v>0.02713</v>
      </c>
      <c r="K26" s="71" t="n">
        <v>0.1041</v>
      </c>
      <c r="L26" s="71" t="n">
        <v>0.07958999999999999</v>
      </c>
      <c r="M26" s="71" t="n">
        <v>0.02672</v>
      </c>
      <c r="N26" s="71" t="n">
        <v>0.05085</v>
      </c>
    </row>
    <row r="27">
      <c r="C27" s="23" t="inlineStr">
        <is>
          <t>Impro</t>
        </is>
      </c>
      <c r="D27" s="78" t="inlineStr">
        <is>
          <t>Energy</t>
        </is>
      </c>
      <c r="E27" s="78">
        <f>-1*(E25/E21-1)</f>
        <v/>
      </c>
      <c r="F27" s="78">
        <f>-1*(F25/F21-1)</f>
        <v/>
      </c>
      <c r="G27" s="78">
        <f>-1*(G25/G21-1)</f>
        <v/>
      </c>
      <c r="H27" s="78">
        <f>-1*(H25/H21-1)</f>
        <v/>
      </c>
      <c r="I27" s="78">
        <f>-1*(I25/I21-1)</f>
        <v/>
      </c>
      <c r="J27" s="78">
        <f>-1*(J25/J21-1)</f>
        <v/>
      </c>
      <c r="K27" s="78">
        <f>-1*(K25/K21-1)</f>
        <v/>
      </c>
      <c r="L27" s="78">
        <f>-1*(L25/L21-1)</f>
        <v/>
      </c>
      <c r="M27" s="78">
        <f>-1*(M25/M21-1)</f>
        <v/>
      </c>
      <c r="N27" s="78">
        <f>-1*(N25/N21-1)</f>
        <v/>
      </c>
      <c r="O27">
        <f>AVERAGE(E27:N27)</f>
        <v/>
      </c>
    </row>
    <row r="28">
      <c r="C28" s="58" t="n"/>
      <c r="D28" t="inlineStr">
        <is>
          <t>Force</t>
        </is>
      </c>
      <c r="E28" s="79">
        <f>-1*(E26/E22-1)</f>
        <v/>
      </c>
      <c r="F28" s="79">
        <f>-1*(F26/F22-1)</f>
        <v/>
      </c>
      <c r="G28" s="79">
        <f>-1*(G26/G22-1)</f>
        <v/>
      </c>
      <c r="H28" s="79">
        <f>-1*(H26/H22-1)</f>
        <v/>
      </c>
      <c r="I28" s="79">
        <f>-1*(I26/I22-1)</f>
        <v/>
      </c>
      <c r="J28" s="79">
        <f>-1*(J26/J22-1)</f>
        <v/>
      </c>
      <c r="K28" s="79">
        <f>-1*(K26/K22-1)</f>
        <v/>
      </c>
      <c r="L28" s="79">
        <f>-1*(L26/L22-1)</f>
        <v/>
      </c>
      <c r="M28" s="79">
        <f>-1*(M26/M22-1)</f>
        <v/>
      </c>
      <c r="N28" s="79">
        <f>-1*(N26/N22-1)</f>
        <v/>
      </c>
      <c r="O28">
        <f>AVERAGE(E28:N28)</f>
        <v/>
      </c>
    </row>
    <row r="29">
      <c r="C29" s="69" t="inlineStr">
        <is>
          <t>SphereNet</t>
        </is>
      </c>
      <c r="D29" s="70" t="inlineStr">
        <is>
          <t>Energy</t>
        </is>
      </c>
      <c r="E29" s="70" t="n">
        <v>0.180906</v>
      </c>
      <c r="F29" s="70" t="n">
        <v>0.097938</v>
      </c>
      <c r="G29" s="70" t="n">
        <v>0.006469</v>
      </c>
      <c r="H29" s="70" t="n">
        <v>0.037844</v>
      </c>
      <c r="I29" s="70" t="n">
        <v>0.060047</v>
      </c>
      <c r="J29" s="70" t="n">
        <v>0.038234</v>
      </c>
      <c r="K29" s="70" t="n">
        <v>0.10425</v>
      </c>
      <c r="L29" s="70" t="n">
        <v>0.141188</v>
      </c>
      <c r="M29" s="70" t="n">
        <v>0.034516</v>
      </c>
      <c r="N29" s="70" t="n">
        <v>0.080875</v>
      </c>
      <c r="P29" s="9" t="inlineStr">
        <is>
          <t>重新跑</t>
        </is>
      </c>
      <c r="R29" s="70" t="n"/>
      <c r="S29" s="70" t="n">
        <v>0.068906</v>
      </c>
      <c r="T29" s="70" t="n"/>
      <c r="U29" s="70" t="n">
        <v>0.067094</v>
      </c>
      <c r="V29" s="70" t="n"/>
      <c r="W29" s="70" t="n">
        <v>0.048094</v>
      </c>
      <c r="X29" s="70" t="n"/>
      <c r="Y29" s="70" t="n">
        <v>0.081437</v>
      </c>
      <c r="Z29" s="70" t="n"/>
      <c r="AA29" s="70" t="n"/>
    </row>
    <row r="30">
      <c r="C30" s="58" t="n"/>
      <c r="D30" s="70" t="inlineStr">
        <is>
          <t>Force</t>
        </is>
      </c>
      <c r="E30" s="70" t="n">
        <v>0.391338</v>
      </c>
      <c r="F30" s="70" t="n">
        <v>0.217755</v>
      </c>
      <c r="G30" s="70" t="n">
        <v>0.021509</v>
      </c>
      <c r="H30" s="70" t="n">
        <v>0.194318</v>
      </c>
      <c r="I30" s="70" t="n">
        <v>0.29278</v>
      </c>
      <c r="J30" s="70" t="n">
        <v>0.111407</v>
      </c>
      <c r="K30" s="70" t="n">
        <v>0.322653</v>
      </c>
      <c r="L30" s="70" t="n">
        <v>0.286917</v>
      </c>
      <c r="M30" s="70" t="n">
        <v>0.109783</v>
      </c>
      <c r="N30" s="70" t="n">
        <v>0.277021</v>
      </c>
      <c r="R30" s="70" t="n"/>
      <c r="S30" s="70" t="n">
        <v>0.217272</v>
      </c>
      <c r="T30" s="70" t="n"/>
      <c r="U30" s="70" t="n">
        <v>0.18878</v>
      </c>
      <c r="V30" s="70" t="n"/>
      <c r="W30" s="70" t="n">
        <v>0.109424</v>
      </c>
      <c r="X30" s="70" t="n"/>
      <c r="Y30" s="70" t="n">
        <v>0.284201</v>
      </c>
      <c r="Z30" s="70" t="n"/>
      <c r="AA30" s="70" t="n"/>
    </row>
    <row r="31">
      <c r="C31" s="22" t="inlineStr">
        <is>
          <t>SphereNet w/ ED</t>
        </is>
      </c>
      <c r="D31" s="71" t="inlineStr">
        <is>
          <t>Energy</t>
        </is>
      </c>
      <c r="E31" s="71" t="n">
        <v>0.136219</v>
      </c>
      <c r="F31" s="71" t="n">
        <v>0.067875</v>
      </c>
      <c r="G31" s="71" t="n">
        <v>0.004125</v>
      </c>
      <c r="H31" s="71" t="n">
        <v>0.03575</v>
      </c>
      <c r="I31" s="71" t="n">
        <v>0.056594</v>
      </c>
      <c r="J31" s="71" t="n">
        <v>0.027531</v>
      </c>
      <c r="K31" s="71" t="n">
        <v>0.099344</v>
      </c>
      <c r="L31" s="71" t="n">
        <v>0.095688</v>
      </c>
      <c r="M31" s="71" t="n">
        <v>0.024125</v>
      </c>
      <c r="N31" s="71" t="n">
        <v>0.036828</v>
      </c>
    </row>
    <row r="32">
      <c r="C32" s="58" t="n"/>
      <c r="D32" s="72" t="inlineStr">
        <is>
          <t>Force</t>
        </is>
      </c>
      <c r="E32" s="71" t="n">
        <v>0.385984</v>
      </c>
      <c r="F32" s="71" t="n">
        <v>0.216648</v>
      </c>
      <c r="G32" s="71" t="n">
        <v>0.021005</v>
      </c>
      <c r="H32" s="71" t="n">
        <v>0.187412</v>
      </c>
      <c r="I32" s="71" t="n">
        <v>0.284557</v>
      </c>
      <c r="J32" s="71" t="n">
        <v>0.11102</v>
      </c>
      <c r="K32" s="71" t="n">
        <v>0.320227</v>
      </c>
      <c r="L32" s="71" t="n">
        <v>0.282986</v>
      </c>
      <c r="M32" s="71" t="n">
        <v>0.108041</v>
      </c>
      <c r="N32" s="71" t="n">
        <v>0.171793</v>
      </c>
    </row>
    <row r="33">
      <c r="C33" s="73" t="inlineStr">
        <is>
          <t>Impro</t>
        </is>
      </c>
      <c r="D33" s="74" t="inlineStr">
        <is>
          <t>Energy</t>
        </is>
      </c>
      <c r="E33" s="63">
        <f>-1*(E31/E29-1)</f>
        <v/>
      </c>
      <c r="F33" s="63">
        <f>-1*(F31/F29-1)</f>
        <v/>
      </c>
      <c r="G33" s="63">
        <f>-1*(G31/G29-1)</f>
        <v/>
      </c>
      <c r="H33" s="63">
        <f>-1*(H31/H29-1)</f>
        <v/>
      </c>
      <c r="I33" s="63">
        <f>-1*(I31/I29-1)</f>
        <v/>
      </c>
      <c r="J33" s="63">
        <f>-1*(J31/J29-1)</f>
        <v/>
      </c>
      <c r="K33" s="63">
        <f>-1*(K31/K29-1)</f>
        <v/>
      </c>
      <c r="L33" s="63">
        <f>-1*(L31/L29-1)</f>
        <v/>
      </c>
      <c r="M33" s="63">
        <f>-1*(M31/M29-1)</f>
        <v/>
      </c>
      <c r="N33" s="63">
        <f>-1*(N31/N29-1)</f>
        <v/>
      </c>
      <c r="O33" s="76">
        <f>AVERAGE(E33:N33)</f>
        <v/>
      </c>
    </row>
    <row r="34">
      <c r="C34" s="58" t="n"/>
      <c r="D34" s="74" t="inlineStr">
        <is>
          <t>Force</t>
        </is>
      </c>
      <c r="E34" s="63">
        <f>-1*(E32/E30-1)</f>
        <v/>
      </c>
      <c r="F34" s="63">
        <f>-1*(F32/F30-1)</f>
        <v/>
      </c>
      <c r="G34" s="63">
        <f>-1*(G32/G30-1)</f>
        <v/>
      </c>
      <c r="H34" s="63">
        <f>-1*(H32/H30-1)</f>
        <v/>
      </c>
      <c r="I34" s="63">
        <f>-1*(I32/I30-1)</f>
        <v/>
      </c>
      <c r="J34" s="63">
        <f>-1*(J32/J30-1)</f>
        <v/>
      </c>
      <c r="K34" s="63">
        <f>-1*(K32/K30-1)</f>
        <v/>
      </c>
      <c r="L34" s="63">
        <f>-1*(L32/L30-1)</f>
        <v/>
      </c>
      <c r="M34" s="63">
        <f>-1*(M32/M30-1)</f>
        <v/>
      </c>
      <c r="N34" s="63">
        <f>-1*(N32/N30-1)</f>
        <v/>
      </c>
      <c r="O34" s="76">
        <f>AVERAGE(E34:N34)</f>
        <v/>
      </c>
    </row>
    <row r="35">
      <c r="C35" s="22" t="inlineStr">
        <is>
          <t>SphereNet w/ ED and Evaluator</t>
        </is>
      </c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</row>
    <row r="36">
      <c r="C36" s="22" t="inlineStr">
        <is>
          <t>SphereNet w/ KD</t>
        </is>
      </c>
      <c r="D36" s="71" t="n"/>
      <c r="E36" s="71" t="n"/>
      <c r="F36" s="71" t="n"/>
      <c r="G36" s="71" t="n"/>
      <c r="H36" s="71" t="n"/>
      <c r="I36" s="71" t="n"/>
      <c r="J36" s="71" t="n"/>
      <c r="K36" s="71" t="n"/>
      <c r="L36" s="71" t="n"/>
      <c r="M36" s="71" t="n"/>
      <c r="N36" s="71" t="n"/>
    </row>
    <row r="37">
      <c r="C37" s="23" t="inlineStr">
        <is>
          <t>EER_SphereNet</t>
        </is>
      </c>
      <c r="D37" s="78" t="n"/>
      <c r="E37" s="78" t="n"/>
      <c r="F37" s="78" t="n"/>
      <c r="G37" s="78" t="n"/>
      <c r="H37" s="78" t="n"/>
      <c r="I37" s="78" t="n"/>
      <c r="J37" s="78" t="n"/>
      <c r="K37" s="78" t="n"/>
      <c r="L37" s="78" t="n"/>
      <c r="M37" s="78" t="n"/>
      <c r="N37" s="78" t="n"/>
    </row>
  </sheetData>
  <mergeCells count="14">
    <mergeCell ref="C23:C24"/>
    <mergeCell ref="C8:C9"/>
    <mergeCell ref="C33:C34"/>
    <mergeCell ref="C12:C13"/>
    <mergeCell ref="C29:C30"/>
    <mergeCell ref="C25:C26"/>
    <mergeCell ref="C21:C22"/>
    <mergeCell ref="C27:C28"/>
    <mergeCell ref="V18:X18"/>
    <mergeCell ref="C31:C32"/>
    <mergeCell ref="C6:C7"/>
    <mergeCell ref="C10:C11"/>
    <mergeCell ref="C14:C15"/>
    <mergeCell ref="C19:C20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1:H1003"/>
  <sheetViews>
    <sheetView topLeftCell="A13" workbookViewId="0">
      <selection activeCell="F19" sqref="F19"/>
    </sheetView>
  </sheetViews>
  <sheetFormatPr baseColWidth="8" defaultColWidth="9" defaultRowHeight="14"/>
  <sheetData>
    <row r="1">
      <c r="D1" s="3" t="inlineStr">
        <is>
          <t>SchNet-QM9-alpha</t>
        </is>
      </c>
    </row>
    <row r="2">
      <c r="D2" s="3" t="inlineStr">
        <is>
          <t>SchNet</t>
        </is>
      </c>
      <c r="G2" s="3" t="inlineStr">
        <is>
          <t>IEMv2</t>
        </is>
      </c>
    </row>
    <row r="3">
      <c r="D3" s="3" t="inlineStr">
        <is>
          <t>Valid</t>
        </is>
      </c>
      <c r="E3" s="3" t="inlineStr">
        <is>
          <t>Test</t>
        </is>
      </c>
      <c r="G3" s="3" t="inlineStr">
        <is>
          <t>Valid</t>
        </is>
      </c>
      <c r="H3" s="3" t="inlineStr">
        <is>
          <t>Test</t>
        </is>
      </c>
    </row>
    <row r="4">
      <c r="D4" s="2" t="n">
        <v>1.164167</v>
      </c>
      <c r="E4" s="2" t="n">
        <v>1.175221</v>
      </c>
      <c r="G4" s="2" t="n">
        <v>0.764005</v>
      </c>
      <c r="H4" s="2" t="n">
        <v>0.76234</v>
      </c>
    </row>
    <row r="5">
      <c r="D5" s="2" t="n">
        <v>0.617016</v>
      </c>
      <c r="E5" s="2" t="n">
        <v>0.625737</v>
      </c>
      <c r="G5" s="2" t="n">
        <v>0.755023</v>
      </c>
      <c r="H5" s="2" t="n">
        <v>0.7601869999999999</v>
      </c>
    </row>
    <row r="6">
      <c r="D6" s="2" t="n">
        <v>0.54642</v>
      </c>
      <c r="E6" s="2" t="n">
        <v>0.550737</v>
      </c>
      <c r="G6" s="2" t="n">
        <v>0.562772</v>
      </c>
      <c r="H6" s="2" t="n">
        <v>0.56986</v>
      </c>
    </row>
    <row r="7">
      <c r="D7" s="2" t="n">
        <v>0.437559</v>
      </c>
      <c r="E7" s="2" t="n">
        <v>0.445614</v>
      </c>
      <c r="G7" s="2" t="n">
        <v>0.574784</v>
      </c>
      <c r="H7" s="2" t="n">
        <v>0.57709</v>
      </c>
    </row>
    <row r="8">
      <c r="D8" s="2" t="n">
        <v>0.418151</v>
      </c>
      <c r="E8" s="2" t="n">
        <v>0.423002</v>
      </c>
      <c r="G8" s="2" t="n">
        <v>0.516019</v>
      </c>
      <c r="H8" s="2" t="n">
        <v>0.521041</v>
      </c>
    </row>
    <row r="9">
      <c r="D9" s="2" t="n">
        <v>0.377666</v>
      </c>
      <c r="E9" s="2" t="n">
        <v>0.379326</v>
      </c>
      <c r="G9" s="2" t="n">
        <v>0.406413</v>
      </c>
      <c r="H9" s="2" t="n">
        <v>0.406828</v>
      </c>
    </row>
    <row r="10">
      <c r="D10" s="2" t="n">
        <v>0.384168</v>
      </c>
      <c r="E10" s="2" t="n">
        <v>0.390499</v>
      </c>
      <c r="G10" s="2" t="n">
        <v>0.356118</v>
      </c>
      <c r="H10" s="2" t="n">
        <v>0.366395</v>
      </c>
    </row>
    <row r="11">
      <c r="D11" s="2" t="n">
        <v>0.396397</v>
      </c>
      <c r="E11" s="2" t="n">
        <v>0.404638</v>
      </c>
      <c r="G11" s="2" t="n">
        <v>0.429493</v>
      </c>
      <c r="H11" s="2" t="n">
        <v>0.435656</v>
      </c>
    </row>
    <row r="12">
      <c r="D12" s="2" t="n">
        <v>0.296302</v>
      </c>
      <c r="E12" s="2" t="n">
        <v>0.299631</v>
      </c>
      <c r="G12" s="2" t="n">
        <v>0.28007</v>
      </c>
      <c r="H12" s="2" t="n">
        <v>0.280397</v>
      </c>
    </row>
    <row r="13">
      <c r="D13" s="2" t="n">
        <v>0.465855</v>
      </c>
      <c r="E13" s="2" t="n">
        <v>0.465989</v>
      </c>
      <c r="G13" s="2" t="n">
        <v>0.339285</v>
      </c>
      <c r="H13" s="2" t="n">
        <v>0.336982</v>
      </c>
    </row>
    <row r="14">
      <c r="D14" s="2" t="n">
        <v>0.350556</v>
      </c>
      <c r="E14" s="2" t="n">
        <v>0.349351</v>
      </c>
      <c r="G14" s="2" t="n">
        <v>0.443253</v>
      </c>
      <c r="H14" s="2" t="n">
        <v>0.442701</v>
      </c>
    </row>
    <row r="15">
      <c r="D15" s="2" t="n">
        <v>0.313124</v>
      </c>
      <c r="E15" s="2" t="n">
        <v>0.31717</v>
      </c>
      <c r="G15" s="2" t="n">
        <v>0.434844</v>
      </c>
      <c r="H15" s="2" t="n">
        <v>0.433349</v>
      </c>
    </row>
    <row r="16">
      <c r="D16" s="2" t="n">
        <v>0.263699</v>
      </c>
      <c r="E16" s="2" t="n">
        <v>0.268583</v>
      </c>
      <c r="G16" s="2" t="n">
        <v>0.392176</v>
      </c>
      <c r="H16" s="2" t="n">
        <v>0.387157</v>
      </c>
    </row>
    <row r="17">
      <c r="D17" s="2" t="n">
        <v>0.271977</v>
      </c>
      <c r="E17" s="2" t="n">
        <v>0.270128</v>
      </c>
      <c r="G17" s="2" t="n">
        <v>0.261946</v>
      </c>
      <c r="H17" s="2" t="n">
        <v>0.261847</v>
      </c>
    </row>
    <row r="18">
      <c r="D18" s="2" t="n">
        <v>0.380497</v>
      </c>
      <c r="E18" s="2" t="n">
        <v>0.379118</v>
      </c>
      <c r="G18" s="2" t="n">
        <v>0.246033</v>
      </c>
      <c r="H18" s="2" t="n">
        <v>0.244611</v>
      </c>
    </row>
    <row r="19">
      <c r="D19" s="2" t="n">
        <v>0.729638</v>
      </c>
      <c r="E19" s="2" t="n">
        <v>0.723316</v>
      </c>
      <c r="G19" s="2" t="n">
        <v>0.231293</v>
      </c>
      <c r="H19" s="2" t="n">
        <v>0.231471</v>
      </c>
    </row>
    <row r="20">
      <c r="D20" s="2" t="n">
        <v>0.295511</v>
      </c>
      <c r="E20" s="2" t="n">
        <v>0.296675</v>
      </c>
      <c r="G20" s="2" t="n">
        <v>0.291695</v>
      </c>
      <c r="H20" s="2" t="n">
        <v>0.290916</v>
      </c>
    </row>
    <row r="21">
      <c r="D21" s="2" t="n">
        <v>0.250051</v>
      </c>
      <c r="E21" s="2" t="n">
        <v>0.25494</v>
      </c>
      <c r="G21" s="2" t="n">
        <v>0.251517</v>
      </c>
      <c r="H21" s="2" t="n">
        <v>0.257328</v>
      </c>
    </row>
    <row r="22">
      <c r="D22" s="2" t="n">
        <v>0.311088</v>
      </c>
      <c r="E22" s="2" t="n">
        <v>0.316696</v>
      </c>
      <c r="G22" s="2" t="n">
        <v>0.266468</v>
      </c>
      <c r="H22" s="2" t="n">
        <v>0.26848</v>
      </c>
    </row>
    <row r="23">
      <c r="D23" s="2" t="n">
        <v>0.222271</v>
      </c>
      <c r="E23" s="2" t="n">
        <v>0.224444</v>
      </c>
      <c r="G23" s="2" t="n">
        <v>0.257792</v>
      </c>
      <c r="H23" s="2" t="n">
        <v>0.259657</v>
      </c>
    </row>
    <row r="24">
      <c r="D24" s="2" t="n">
        <v>0.211607</v>
      </c>
      <c r="E24" s="2" t="n">
        <v>0.214779</v>
      </c>
      <c r="G24" s="2" t="n">
        <v>0.26358</v>
      </c>
      <c r="H24" s="2" t="n">
        <v>0.262382</v>
      </c>
    </row>
    <row r="25">
      <c r="D25" s="2" t="n">
        <v>0.321308</v>
      </c>
      <c r="E25" s="2" t="n">
        <v>0.32171</v>
      </c>
      <c r="G25" s="2" t="n">
        <v>0.217195</v>
      </c>
      <c r="H25" s="2" t="n">
        <v>0.216192</v>
      </c>
    </row>
    <row r="26">
      <c r="D26" s="2" t="n">
        <v>0.227931</v>
      </c>
      <c r="E26" s="2" t="n">
        <v>0.228026</v>
      </c>
      <c r="G26" s="2" t="n">
        <v>0.20456</v>
      </c>
      <c r="H26" s="2" t="n">
        <v>0.206333</v>
      </c>
    </row>
    <row r="27">
      <c r="D27" s="2" t="n">
        <v>0.239317</v>
      </c>
      <c r="E27" s="2" t="n">
        <v>0.238875</v>
      </c>
      <c r="G27" s="2" t="n">
        <v>0.235082</v>
      </c>
      <c r="H27" s="2" t="n">
        <v>0.237441</v>
      </c>
    </row>
    <row r="28">
      <c r="D28" s="2" t="n">
        <v>0.195118</v>
      </c>
      <c r="E28" s="2" t="n">
        <v>0.194496</v>
      </c>
      <c r="G28" s="2" t="n">
        <v>0.21513</v>
      </c>
      <c r="H28" s="2" t="n">
        <v>0.217275</v>
      </c>
    </row>
    <row r="29">
      <c r="D29" s="2" t="n">
        <v>0.212304</v>
      </c>
      <c r="E29" s="2" t="n">
        <v>0.211765</v>
      </c>
      <c r="G29" s="2" t="n">
        <v>0.226425</v>
      </c>
      <c r="H29" s="2" t="n">
        <v>0.221769</v>
      </c>
    </row>
    <row r="30">
      <c r="D30" s="2" t="n">
        <v>0.251378</v>
      </c>
      <c r="E30" s="2" t="n">
        <v>0.253033</v>
      </c>
      <c r="G30" s="2" t="n">
        <v>0.199993</v>
      </c>
      <c r="H30" s="2" t="n">
        <v>0.198994</v>
      </c>
    </row>
    <row r="31">
      <c r="D31" s="2" t="n">
        <v>0.4569</v>
      </c>
      <c r="E31" s="2" t="n">
        <v>0.456587</v>
      </c>
      <c r="G31" s="2" t="n">
        <v>0.20533</v>
      </c>
      <c r="H31" s="2" t="n">
        <v>0.206129</v>
      </c>
    </row>
    <row r="32">
      <c r="D32" s="2" t="n">
        <v>0.217098</v>
      </c>
      <c r="E32" s="2" t="n">
        <v>0.214663</v>
      </c>
      <c r="G32" s="2" t="n">
        <v>0.243758</v>
      </c>
      <c r="H32" s="2" t="n">
        <v>0.239904</v>
      </c>
    </row>
    <row r="33">
      <c r="D33" s="2" t="n">
        <v>0.198583</v>
      </c>
      <c r="E33" s="2" t="n">
        <v>0.199502</v>
      </c>
      <c r="G33" s="2" t="n">
        <v>0.263274</v>
      </c>
      <c r="H33" s="2" t="n">
        <v>0.262619</v>
      </c>
    </row>
    <row r="34">
      <c r="D34" s="2" t="n">
        <v>0.182451</v>
      </c>
      <c r="E34" s="2" t="n">
        <v>0.185371</v>
      </c>
      <c r="G34" s="2" t="n">
        <v>0.200006</v>
      </c>
      <c r="H34" s="2" t="n">
        <v>0.197844</v>
      </c>
    </row>
    <row r="35">
      <c r="D35" s="2" t="n">
        <v>0.184092</v>
      </c>
      <c r="E35" s="2" t="n">
        <v>0.184048</v>
      </c>
      <c r="G35" s="2" t="n">
        <v>0.213184</v>
      </c>
      <c r="H35" s="2" t="n">
        <v>0.214329</v>
      </c>
    </row>
    <row r="36">
      <c r="D36" s="2" t="n">
        <v>0.227421</v>
      </c>
      <c r="E36" s="2" t="n">
        <v>0.230318</v>
      </c>
      <c r="G36" s="2" t="n">
        <v>0.162796</v>
      </c>
      <c r="H36" s="2" t="n">
        <v>0.16216</v>
      </c>
    </row>
    <row r="37">
      <c r="D37" s="2" t="n">
        <v>0.222999</v>
      </c>
      <c r="E37" s="2" t="n">
        <v>0.223884</v>
      </c>
      <c r="G37" s="2" t="n">
        <v>0.193517</v>
      </c>
      <c r="H37" s="2" t="n">
        <v>0.191148</v>
      </c>
    </row>
    <row r="38">
      <c r="D38" s="2" t="n">
        <v>0.230677</v>
      </c>
      <c r="E38" s="2" t="n">
        <v>0.230602</v>
      </c>
      <c r="G38" s="2" t="n">
        <v>0.197158</v>
      </c>
      <c r="H38" s="2" t="n">
        <v>0.198052</v>
      </c>
    </row>
    <row r="39">
      <c r="D39" s="2" t="n">
        <v>0.251651</v>
      </c>
      <c r="E39" s="2" t="n">
        <v>0.249977</v>
      </c>
      <c r="G39" s="2" t="n">
        <v>0.269224</v>
      </c>
      <c r="H39" s="2" t="n">
        <v>0.266933</v>
      </c>
    </row>
    <row r="40">
      <c r="D40" s="2" t="n">
        <v>0.159387</v>
      </c>
      <c r="E40" s="2" t="n">
        <v>0.15918</v>
      </c>
      <c r="G40" s="2" t="n">
        <v>0.21183</v>
      </c>
      <c r="H40" s="2" t="n">
        <v>0.210976</v>
      </c>
    </row>
    <row r="41">
      <c r="D41" s="2" t="n">
        <v>0.196967</v>
      </c>
      <c r="E41" s="2" t="n">
        <v>0.19659</v>
      </c>
      <c r="G41" s="2" t="n">
        <v>0.221239</v>
      </c>
      <c r="H41" s="2" t="n">
        <v>0.223388</v>
      </c>
    </row>
    <row r="42">
      <c r="D42" s="2" t="n">
        <v>0.163486</v>
      </c>
      <c r="E42" s="2" t="n">
        <v>0.162818</v>
      </c>
      <c r="G42" s="2" t="n">
        <v>0.275451</v>
      </c>
      <c r="H42" s="2" t="n">
        <v>0.27614</v>
      </c>
    </row>
    <row r="43">
      <c r="D43" s="2" t="n">
        <v>0.194864</v>
      </c>
      <c r="E43" s="2" t="n">
        <v>0.192526</v>
      </c>
      <c r="G43" s="2" t="n">
        <v>0.176827</v>
      </c>
      <c r="H43" s="2" t="n">
        <v>0.172643</v>
      </c>
    </row>
    <row r="44">
      <c r="D44" s="2" t="n">
        <v>0.258423</v>
      </c>
      <c r="E44" s="2" t="n">
        <v>0.258735</v>
      </c>
      <c r="G44" s="2" t="n">
        <v>0.26486</v>
      </c>
      <c r="H44" s="2" t="n">
        <v>0.262844</v>
      </c>
    </row>
    <row r="45">
      <c r="D45" s="2" t="n">
        <v>0.200703</v>
      </c>
      <c r="E45" s="2" t="n">
        <v>0.198719</v>
      </c>
      <c r="G45" s="2" t="n">
        <v>0.170314</v>
      </c>
      <c r="H45" s="2" t="n">
        <v>0.17109</v>
      </c>
    </row>
    <row r="46">
      <c r="D46" s="2" t="n">
        <v>0.185734</v>
      </c>
      <c r="E46" s="2" t="n">
        <v>0.184602</v>
      </c>
      <c r="G46" s="2" t="n">
        <v>0.241473</v>
      </c>
      <c r="H46" s="2" t="n">
        <v>0.241707</v>
      </c>
    </row>
    <row r="47">
      <c r="D47" s="2" t="n">
        <v>0.181933</v>
      </c>
      <c r="E47" s="2" t="n">
        <v>0.18156</v>
      </c>
      <c r="G47" s="2" t="n">
        <v>0.230207</v>
      </c>
      <c r="H47" s="2" t="n">
        <v>0.224926</v>
      </c>
    </row>
    <row r="48">
      <c r="D48" s="2" t="n">
        <v>0.447315</v>
      </c>
      <c r="E48" s="2" t="n">
        <v>0.451755</v>
      </c>
      <c r="G48" s="2" t="n">
        <v>0.188109</v>
      </c>
      <c r="H48" s="2" t="n">
        <v>0.187155</v>
      </c>
    </row>
    <row r="49">
      <c r="D49" s="2" t="n">
        <v>0.171749</v>
      </c>
      <c r="E49" s="2" t="n">
        <v>0.173701</v>
      </c>
      <c r="G49" s="2" t="n">
        <v>0.23294</v>
      </c>
      <c r="H49" s="2" t="n">
        <v>0.231256</v>
      </c>
    </row>
    <row r="50">
      <c r="D50" s="2" t="n">
        <v>0.167407</v>
      </c>
      <c r="E50" s="2" t="n">
        <v>0.165474</v>
      </c>
      <c r="G50" s="2" t="n">
        <v>0.200136</v>
      </c>
      <c r="H50" s="2" t="n">
        <v>0.198807</v>
      </c>
    </row>
    <row r="51">
      <c r="D51" s="2" t="n">
        <v>0.219747</v>
      </c>
      <c r="E51" s="2" t="n">
        <v>0.218836</v>
      </c>
      <c r="G51" s="2" t="n">
        <v>0.175938</v>
      </c>
      <c r="H51" s="2" t="n">
        <v>0.172877</v>
      </c>
    </row>
    <row r="52">
      <c r="D52" s="2" t="n">
        <v>0.22632</v>
      </c>
      <c r="E52" s="2" t="n">
        <v>0.2265</v>
      </c>
      <c r="G52" s="2" t="n">
        <v>0.183431</v>
      </c>
      <c r="H52" s="2" t="n">
        <v>0.184238</v>
      </c>
    </row>
    <row r="53">
      <c r="D53" s="2" t="n">
        <v>0.160409</v>
      </c>
      <c r="E53" s="2" t="n">
        <v>0.159143</v>
      </c>
      <c r="G53" s="2" t="n">
        <v>0.147439</v>
      </c>
      <c r="H53" s="2" t="n">
        <v>0.144709</v>
      </c>
    </row>
    <row r="54">
      <c r="D54" s="2" t="n">
        <v>0.181256</v>
      </c>
      <c r="E54" s="2" t="n">
        <v>0.181523</v>
      </c>
      <c r="G54" s="2" t="n">
        <v>0.159796</v>
      </c>
      <c r="H54" s="2" t="n">
        <v>0.162439</v>
      </c>
    </row>
    <row r="55">
      <c r="D55" s="2" t="n">
        <v>0.155422</v>
      </c>
      <c r="E55" s="2" t="n">
        <v>0.158017</v>
      </c>
      <c r="G55" s="2" t="n">
        <v>0.163809</v>
      </c>
      <c r="H55" s="2" t="n">
        <v>0.162385</v>
      </c>
    </row>
    <row r="56">
      <c r="D56" s="2" t="n">
        <v>0.212671</v>
      </c>
      <c r="E56" s="2" t="n">
        <v>0.209066</v>
      </c>
      <c r="G56" s="2" t="n">
        <v>0.145597</v>
      </c>
      <c r="H56" s="2" t="n">
        <v>0.144387</v>
      </c>
    </row>
    <row r="57">
      <c r="D57" s="2" t="n">
        <v>0.185735</v>
      </c>
      <c r="E57" s="2" t="n">
        <v>0.185551</v>
      </c>
      <c r="G57" s="2" t="n">
        <v>0.153729</v>
      </c>
      <c r="H57" s="2" t="n">
        <v>0.152025</v>
      </c>
    </row>
    <row r="58">
      <c r="D58" s="2" t="n">
        <v>0.164327</v>
      </c>
      <c r="E58" s="2" t="n">
        <v>0.164367</v>
      </c>
      <c r="G58" s="2" t="n">
        <v>0.158743</v>
      </c>
      <c r="H58" s="2" t="n">
        <v>0.157575</v>
      </c>
    </row>
    <row r="59">
      <c r="D59" s="2" t="n">
        <v>0.183693</v>
      </c>
      <c r="E59" s="2" t="n">
        <v>0.184669</v>
      </c>
      <c r="G59" s="2" t="n">
        <v>0.197736</v>
      </c>
      <c r="H59" s="2" t="n">
        <v>0.195997</v>
      </c>
    </row>
    <row r="60">
      <c r="D60" s="2" t="n">
        <v>0.180496</v>
      </c>
      <c r="E60" s="2" t="n">
        <v>0.179914</v>
      </c>
      <c r="G60" s="2" t="n">
        <v>0.136187</v>
      </c>
      <c r="H60" s="2" t="n">
        <v>0.136236</v>
      </c>
    </row>
    <row r="61">
      <c r="D61" s="2" t="n">
        <v>0.197709</v>
      </c>
      <c r="E61" s="2" t="n">
        <v>0.196749</v>
      </c>
      <c r="G61" s="2" t="n">
        <v>0.19647</v>
      </c>
      <c r="H61" s="2" t="n">
        <v>0.19846</v>
      </c>
    </row>
    <row r="62">
      <c r="D62" s="2" t="n">
        <v>0.150671</v>
      </c>
      <c r="E62" s="2" t="n">
        <v>0.149767</v>
      </c>
      <c r="G62" s="2" t="n">
        <v>0.171316</v>
      </c>
      <c r="H62" s="2" t="n">
        <v>0.170759</v>
      </c>
    </row>
    <row r="63">
      <c r="D63" s="2" t="n">
        <v>0.169139</v>
      </c>
      <c r="E63" s="2" t="n">
        <v>0.169588</v>
      </c>
      <c r="G63" s="2" t="n">
        <v>0.25105</v>
      </c>
      <c r="H63" s="2" t="n">
        <v>0.251908</v>
      </c>
    </row>
    <row r="64">
      <c r="D64" s="2" t="n">
        <v>0.163217</v>
      </c>
      <c r="E64" s="2" t="n">
        <v>0.161491</v>
      </c>
      <c r="G64" s="2" t="n">
        <v>0.146775</v>
      </c>
      <c r="H64" s="2" t="n">
        <v>0.146965</v>
      </c>
    </row>
    <row r="65">
      <c r="D65" s="2" t="n">
        <v>0.142129</v>
      </c>
      <c r="E65" s="2" t="n">
        <v>0.142679</v>
      </c>
      <c r="G65" s="2" t="n">
        <v>0.185286</v>
      </c>
      <c r="H65" s="2" t="n">
        <v>0.188216</v>
      </c>
    </row>
    <row r="66">
      <c r="D66" s="2" t="n">
        <v>0.165294</v>
      </c>
      <c r="E66" s="2" t="n">
        <v>0.165155</v>
      </c>
      <c r="G66" s="2" t="n">
        <v>0.150837</v>
      </c>
      <c r="H66" s="2" t="n">
        <v>0.14935</v>
      </c>
    </row>
    <row r="67">
      <c r="D67" s="2" t="n">
        <v>0.217607</v>
      </c>
      <c r="E67" s="2" t="n">
        <v>0.216376</v>
      </c>
      <c r="G67" s="2" t="n">
        <v>0.179202</v>
      </c>
      <c r="H67" s="2" t="n">
        <v>0.175944</v>
      </c>
    </row>
    <row r="68">
      <c r="D68" s="2" t="n">
        <v>0.14643</v>
      </c>
      <c r="E68" s="2" t="n">
        <v>0.14575</v>
      </c>
      <c r="G68" s="2" t="n">
        <v>0.183629</v>
      </c>
      <c r="H68" s="2" t="n">
        <v>0.179301</v>
      </c>
    </row>
    <row r="69">
      <c r="D69" s="2" t="n">
        <v>0.139586</v>
      </c>
      <c r="E69" s="2" t="n">
        <v>0.137811</v>
      </c>
      <c r="G69" s="2" t="n">
        <v>0.146956</v>
      </c>
      <c r="H69" s="2" t="n">
        <v>0.14886</v>
      </c>
    </row>
    <row r="70">
      <c r="D70" s="2" t="n">
        <v>0.170211</v>
      </c>
      <c r="E70" s="2" t="n">
        <v>0.168654</v>
      </c>
      <c r="G70" s="2" t="n">
        <v>0.191295</v>
      </c>
      <c r="H70" s="2" t="n">
        <v>0.190673</v>
      </c>
    </row>
    <row r="71">
      <c r="D71" s="2" t="n">
        <v>0.358327</v>
      </c>
      <c r="E71" s="2" t="n">
        <v>0.36305</v>
      </c>
      <c r="G71" s="2" t="n">
        <v>0.148654</v>
      </c>
      <c r="H71" s="2" t="n">
        <v>0.146843</v>
      </c>
    </row>
    <row r="72">
      <c r="D72" s="2" t="n">
        <v>0.175492</v>
      </c>
      <c r="E72" s="2" t="n">
        <v>0.175111</v>
      </c>
      <c r="G72" s="2" t="n">
        <v>0.170505</v>
      </c>
      <c r="H72" s="2" t="n">
        <v>0.168952</v>
      </c>
    </row>
    <row r="73">
      <c r="D73" s="2" t="n">
        <v>0.155011</v>
      </c>
      <c r="E73" s="2" t="n">
        <v>0.153339</v>
      </c>
      <c r="G73" s="2" t="n">
        <v>0.136923</v>
      </c>
      <c r="H73" s="2" t="n">
        <v>0.134767</v>
      </c>
    </row>
    <row r="74">
      <c r="D74" s="2" t="n">
        <v>0.148496</v>
      </c>
      <c r="E74" s="2" t="n">
        <v>0.14696</v>
      </c>
      <c r="G74" s="2" t="n">
        <v>0.152147</v>
      </c>
      <c r="H74" s="2" t="n">
        <v>0.151525</v>
      </c>
    </row>
    <row r="75">
      <c r="D75" s="2" t="n">
        <v>0.157823</v>
      </c>
      <c r="E75" s="2" t="n">
        <v>0.15806</v>
      </c>
      <c r="G75" s="2" t="n">
        <v>0.14056</v>
      </c>
      <c r="H75" s="2" t="n">
        <v>0.140297</v>
      </c>
    </row>
    <row r="76">
      <c r="D76" s="2" t="n">
        <v>0.138694</v>
      </c>
      <c r="E76" s="2" t="n">
        <v>0.136595</v>
      </c>
      <c r="G76" s="2" t="n">
        <v>0.147427</v>
      </c>
      <c r="H76" s="2" t="n">
        <v>0.146982</v>
      </c>
    </row>
    <row r="77">
      <c r="D77" s="2" t="n">
        <v>0.155786</v>
      </c>
      <c r="E77" s="2" t="n">
        <v>0.153446</v>
      </c>
      <c r="G77" s="2" t="n">
        <v>0.299228</v>
      </c>
      <c r="H77" s="2" t="n">
        <v>0.307398</v>
      </c>
    </row>
    <row r="78">
      <c r="D78" s="2" t="n">
        <v>0.136106</v>
      </c>
      <c r="E78" s="2" t="n">
        <v>0.137382</v>
      </c>
      <c r="G78" s="2" t="n">
        <v>0.166443</v>
      </c>
      <c r="H78" s="2" t="n">
        <v>0.167409</v>
      </c>
    </row>
    <row r="79">
      <c r="D79" s="2" t="n">
        <v>0.149575</v>
      </c>
      <c r="E79" s="2" t="n">
        <v>0.149245</v>
      </c>
      <c r="G79" s="2" t="n">
        <v>0.152445</v>
      </c>
      <c r="H79" s="2" t="n">
        <v>0.149921</v>
      </c>
    </row>
    <row r="80">
      <c r="D80" s="2" t="n">
        <v>0.162307</v>
      </c>
      <c r="E80" s="2" t="n">
        <v>0.159717</v>
      </c>
      <c r="G80" s="2" t="n">
        <v>0.156272</v>
      </c>
      <c r="H80" s="2" t="n">
        <v>0.156805</v>
      </c>
    </row>
    <row r="81">
      <c r="D81" s="2" t="n">
        <v>0.135434</v>
      </c>
      <c r="E81" s="2" t="n">
        <v>0.132806</v>
      </c>
      <c r="G81" s="2" t="n">
        <v>0.122175</v>
      </c>
      <c r="H81" s="2" t="n">
        <v>0.123249</v>
      </c>
    </row>
    <row r="82">
      <c r="D82" s="2" t="n">
        <v>0.175532</v>
      </c>
      <c r="E82" s="2" t="n">
        <v>0.174428</v>
      </c>
      <c r="G82" s="2" t="n">
        <v>0.13261</v>
      </c>
      <c r="H82" s="2" t="n">
        <v>0.132048</v>
      </c>
    </row>
    <row r="83">
      <c r="D83" s="2" t="n">
        <v>0.131485</v>
      </c>
      <c r="E83" s="2" t="n">
        <v>0.129706</v>
      </c>
      <c r="G83" s="2" t="n">
        <v>0.142087</v>
      </c>
      <c r="H83" s="2" t="n">
        <v>0.140425</v>
      </c>
    </row>
    <row r="84">
      <c r="D84" s="2" t="n">
        <v>0.159187</v>
      </c>
      <c r="E84" s="2" t="n">
        <v>0.158851</v>
      </c>
      <c r="G84" s="2" t="n">
        <v>0.133414</v>
      </c>
      <c r="H84" s="2" t="n">
        <v>0.131488</v>
      </c>
    </row>
    <row r="85">
      <c r="D85" s="2" t="n">
        <v>0.145993</v>
      </c>
      <c r="E85" s="2" t="n">
        <v>0.146284</v>
      </c>
      <c r="G85" s="2" t="n">
        <v>0.138843</v>
      </c>
      <c r="H85" s="2" t="n">
        <v>0.13709</v>
      </c>
    </row>
    <row r="86">
      <c r="D86" s="2" t="n">
        <v>0.145139</v>
      </c>
      <c r="E86" s="2" t="n">
        <v>0.144026</v>
      </c>
      <c r="G86" s="2" t="n">
        <v>0.137501</v>
      </c>
      <c r="H86" s="2" t="n">
        <v>0.138172</v>
      </c>
    </row>
    <row r="87">
      <c r="D87" s="2" t="n">
        <v>0.13747</v>
      </c>
      <c r="E87" s="2" t="n">
        <v>0.137414</v>
      </c>
      <c r="G87" s="2" t="n">
        <v>0.205369</v>
      </c>
      <c r="H87" s="2" t="n">
        <v>0.201711</v>
      </c>
    </row>
    <row r="88">
      <c r="D88" s="2" t="n">
        <v>0.150298</v>
      </c>
      <c r="E88" s="2" t="n">
        <v>0.149329</v>
      </c>
      <c r="G88" s="2" t="n">
        <v>0.140628</v>
      </c>
      <c r="H88" s="2" t="n">
        <v>0.137399</v>
      </c>
    </row>
    <row r="89">
      <c r="D89" s="2" t="n">
        <v>0.139783</v>
      </c>
      <c r="E89" s="2" t="n">
        <v>0.13964</v>
      </c>
      <c r="G89" s="2" t="n">
        <v>0.138814</v>
      </c>
      <c r="H89" s="2" t="n">
        <v>0.136229</v>
      </c>
    </row>
    <row r="90">
      <c r="D90" s="2" t="n">
        <v>0.151299</v>
      </c>
      <c r="E90" s="2" t="n">
        <v>0.158465</v>
      </c>
      <c r="G90" s="2" t="n">
        <v>0.157194</v>
      </c>
      <c r="H90" s="2" t="n">
        <v>0.162015</v>
      </c>
    </row>
    <row r="91">
      <c r="D91" s="2" t="n">
        <v>0.136979</v>
      </c>
      <c r="E91" s="2" t="n">
        <v>0.138811</v>
      </c>
      <c r="G91" s="2" t="n">
        <v>0.144328</v>
      </c>
      <c r="H91" s="2" t="n">
        <v>0.143772</v>
      </c>
    </row>
    <row r="92">
      <c r="D92" s="2" t="n">
        <v>0.185273</v>
      </c>
      <c r="E92" s="2" t="n">
        <v>0.183199</v>
      </c>
      <c r="G92" s="2" t="n">
        <v>0.127462</v>
      </c>
      <c r="H92" s="2" t="n">
        <v>0.126741</v>
      </c>
    </row>
    <row r="93">
      <c r="D93" s="2" t="n">
        <v>0.194733</v>
      </c>
      <c r="E93" s="2" t="n">
        <v>0.192698</v>
      </c>
      <c r="G93" s="2" t="n">
        <v>0.144527</v>
      </c>
      <c r="H93" s="2" t="n">
        <v>0.143236</v>
      </c>
    </row>
    <row r="94">
      <c r="D94" s="2" t="n">
        <v>0.172642</v>
      </c>
      <c r="E94" s="2" t="n">
        <v>0.172571</v>
      </c>
      <c r="G94" s="2" t="n">
        <v>0.130992</v>
      </c>
      <c r="H94" s="2" t="n">
        <v>0.129147</v>
      </c>
    </row>
    <row r="95">
      <c r="D95" s="2" t="n">
        <v>0.139819</v>
      </c>
      <c r="E95" s="2" t="n">
        <v>0.139093</v>
      </c>
      <c r="G95" s="2" t="n">
        <v>0.212879</v>
      </c>
      <c r="H95" s="2" t="n">
        <v>0.210424</v>
      </c>
    </row>
    <row r="96">
      <c r="D96" s="2" t="n">
        <v>0.156369</v>
      </c>
      <c r="E96" s="2" t="n">
        <v>0.154434</v>
      </c>
      <c r="G96" s="2" t="n">
        <v>0.135952</v>
      </c>
      <c r="H96" s="2" t="n">
        <v>0.135017</v>
      </c>
    </row>
    <row r="97">
      <c r="D97" s="2" t="n">
        <v>0.139503</v>
      </c>
      <c r="E97" s="2" t="n">
        <v>0.139535</v>
      </c>
      <c r="G97" s="2" t="n">
        <v>0.132745</v>
      </c>
      <c r="H97" s="2" t="n">
        <v>0.133157</v>
      </c>
    </row>
    <row r="98">
      <c r="D98" s="2" t="n">
        <v>0.139186</v>
      </c>
      <c r="E98" s="2" t="n">
        <v>0.136734</v>
      </c>
      <c r="G98" s="2" t="n">
        <v>0.179289</v>
      </c>
      <c r="H98" s="2" t="n">
        <v>0.177052</v>
      </c>
    </row>
    <row r="99">
      <c r="D99" s="2" t="n">
        <v>0.141003</v>
      </c>
      <c r="E99" s="2" t="n">
        <v>0.138829</v>
      </c>
      <c r="G99" s="2" t="n">
        <v>0.186664</v>
      </c>
      <c r="H99" s="2" t="n">
        <v>0.184213</v>
      </c>
    </row>
    <row r="100">
      <c r="D100" s="2" t="n">
        <v>0.143577</v>
      </c>
      <c r="E100" s="2" t="n">
        <v>0.144109</v>
      </c>
      <c r="G100" s="2" t="n">
        <v>0.167394</v>
      </c>
      <c r="H100" s="2" t="n">
        <v>0.167473</v>
      </c>
    </row>
    <row r="101">
      <c r="D101" s="2" t="n">
        <v>0.146459</v>
      </c>
      <c r="E101" s="2" t="n">
        <v>0.148067</v>
      </c>
      <c r="G101" s="2" t="n">
        <v>0.164691</v>
      </c>
      <c r="H101" s="2" t="n">
        <v>0.163514</v>
      </c>
    </row>
    <row r="102">
      <c r="D102" s="2" t="n">
        <v>0.132982</v>
      </c>
      <c r="E102" s="2" t="n">
        <v>0.133506</v>
      </c>
      <c r="G102" s="2" t="n">
        <v>0.137579</v>
      </c>
      <c r="H102" s="2" t="n">
        <v>0.137285</v>
      </c>
    </row>
    <row r="103">
      <c r="D103" s="2" t="n">
        <v>0.147369</v>
      </c>
      <c r="E103" s="2" t="n">
        <v>0.145934</v>
      </c>
      <c r="G103" s="2" t="n">
        <v>0.140023</v>
      </c>
      <c r="H103" s="2" t="n">
        <v>0.138866</v>
      </c>
    </row>
    <row r="104">
      <c r="D104" s="2" t="n">
        <v>0.206571</v>
      </c>
      <c r="E104" s="2" t="n">
        <v>0.204378</v>
      </c>
      <c r="G104" s="2" t="n">
        <v>0.157694</v>
      </c>
      <c r="H104" s="2" t="n">
        <v>0.155541</v>
      </c>
    </row>
    <row r="105">
      <c r="D105" s="2" t="n">
        <v>0.136816</v>
      </c>
      <c r="E105" s="2" t="n">
        <v>0.134373</v>
      </c>
      <c r="G105" s="2" t="n">
        <v>0.158784</v>
      </c>
      <c r="H105" s="2" t="n">
        <v>0.157463</v>
      </c>
    </row>
    <row r="106">
      <c r="D106" s="2" t="n">
        <v>0.292304</v>
      </c>
      <c r="E106" s="2" t="n">
        <v>0.296464</v>
      </c>
      <c r="G106" s="2" t="n">
        <v>0.150013</v>
      </c>
      <c r="H106" s="2" t="n">
        <v>0.149029</v>
      </c>
    </row>
    <row r="107">
      <c r="D107" s="2" t="n">
        <v>0.131715</v>
      </c>
      <c r="E107" s="2" t="n">
        <v>0.129758</v>
      </c>
      <c r="G107" s="2" t="n">
        <v>0.139325</v>
      </c>
      <c r="H107" s="2" t="n">
        <v>0.138168</v>
      </c>
    </row>
    <row r="108">
      <c r="D108" s="2" t="n">
        <v>0.132095</v>
      </c>
      <c r="E108" s="2" t="n">
        <v>0.133139</v>
      </c>
      <c r="G108" s="2" t="n">
        <v>0.12743</v>
      </c>
      <c r="H108" s="2" t="n">
        <v>0.125723</v>
      </c>
    </row>
    <row r="109">
      <c r="D109" s="2" t="n">
        <v>0.125836</v>
      </c>
      <c r="E109" s="2" t="n">
        <v>0.125609</v>
      </c>
      <c r="G109" s="2" t="n">
        <v>0.12291</v>
      </c>
      <c r="H109" s="2" t="n">
        <v>0.123189</v>
      </c>
    </row>
    <row r="110">
      <c r="D110" s="2" t="n">
        <v>0.137335</v>
      </c>
      <c r="E110" s="2" t="n">
        <v>0.134774</v>
      </c>
      <c r="G110" s="2" t="n">
        <v>0.125248</v>
      </c>
      <c r="H110" s="2" t="n">
        <v>0.121453</v>
      </c>
    </row>
    <row r="111">
      <c r="D111" s="2" t="n">
        <v>0.132798</v>
      </c>
      <c r="E111" s="2" t="n">
        <v>0.132649</v>
      </c>
      <c r="G111" s="2" t="n">
        <v>0.141662</v>
      </c>
      <c r="H111" s="2" t="n">
        <v>0.137783</v>
      </c>
    </row>
    <row r="112">
      <c r="D112" s="2" t="n">
        <v>0.142693</v>
      </c>
      <c r="E112" s="2" t="n">
        <v>0.139107</v>
      </c>
      <c r="G112" s="2" t="n">
        <v>0.150677</v>
      </c>
      <c r="H112" s="2" t="n">
        <v>0.14984</v>
      </c>
    </row>
    <row r="113">
      <c r="D113" s="2" t="n">
        <v>0.131979</v>
      </c>
      <c r="E113" s="2" t="n">
        <v>0.128777</v>
      </c>
      <c r="G113" s="2" t="n">
        <v>0.136615</v>
      </c>
      <c r="H113" s="2" t="n">
        <v>0.134491</v>
      </c>
    </row>
    <row r="114">
      <c r="D114" s="2" t="n">
        <v>0.160423</v>
      </c>
      <c r="E114" s="2" t="n">
        <v>0.159756</v>
      </c>
      <c r="G114" s="2" t="n">
        <v>0.134712</v>
      </c>
      <c r="H114" s="2" t="n">
        <v>0.134148</v>
      </c>
    </row>
    <row r="115">
      <c r="D115" s="2" t="n">
        <v>0.149545</v>
      </c>
      <c r="E115" s="2" t="n">
        <v>0.148452</v>
      </c>
      <c r="G115" s="2" t="n">
        <v>0.130631</v>
      </c>
      <c r="H115" s="2" t="n">
        <v>0.127131</v>
      </c>
    </row>
    <row r="116">
      <c r="D116" s="2" t="n">
        <v>0.130744</v>
      </c>
      <c r="E116" s="2" t="n">
        <v>0.128156</v>
      </c>
      <c r="G116" s="2" t="n">
        <v>0.118882</v>
      </c>
      <c r="H116" s="2" t="n">
        <v>0.118638</v>
      </c>
    </row>
    <row r="117">
      <c r="D117" s="2" t="n">
        <v>0.123265</v>
      </c>
      <c r="E117" s="2" t="n">
        <v>0.121869</v>
      </c>
      <c r="G117" s="2" t="n">
        <v>0.132369</v>
      </c>
      <c r="H117" s="2" t="n">
        <v>0.131177</v>
      </c>
    </row>
    <row r="118">
      <c r="D118" s="2" t="n">
        <v>0.123234</v>
      </c>
      <c r="E118" s="2" t="n">
        <v>0.120572</v>
      </c>
      <c r="G118" s="2" t="n">
        <v>0.12342</v>
      </c>
      <c r="H118" s="2" t="n">
        <v>0.12076</v>
      </c>
    </row>
    <row r="119">
      <c r="D119" s="2" t="n">
        <v>0.125549</v>
      </c>
      <c r="E119" s="2" t="n">
        <v>0.123105</v>
      </c>
      <c r="G119" s="2" t="n">
        <v>0.118648</v>
      </c>
      <c r="H119" s="2" t="n">
        <v>0.117429</v>
      </c>
    </row>
    <row r="120">
      <c r="D120" s="2" t="n">
        <v>0.137008</v>
      </c>
      <c r="E120" s="2" t="n">
        <v>0.136137</v>
      </c>
      <c r="G120" s="2" t="n">
        <v>0.131876</v>
      </c>
      <c r="H120" s="2" t="n">
        <v>0.131159</v>
      </c>
    </row>
    <row r="121">
      <c r="D121" s="2" t="n">
        <v>0.14083</v>
      </c>
      <c r="E121" s="2" t="n">
        <v>0.141732</v>
      </c>
      <c r="G121" s="2" t="n">
        <v>0.155697</v>
      </c>
      <c r="H121" s="2" t="n">
        <v>0.154184</v>
      </c>
    </row>
    <row r="122">
      <c r="D122" s="2" t="n">
        <v>0.132691</v>
      </c>
      <c r="E122" s="2" t="n">
        <v>0.1316</v>
      </c>
      <c r="G122" s="2" t="n">
        <v>0.123411</v>
      </c>
      <c r="H122" s="2" t="n">
        <v>0.123023</v>
      </c>
    </row>
    <row r="123">
      <c r="D123" s="2" t="n">
        <v>0.135189</v>
      </c>
      <c r="E123" s="2" t="n">
        <v>0.136444</v>
      </c>
      <c r="G123" s="2" t="n">
        <v>0.145695</v>
      </c>
      <c r="H123" s="2" t="n">
        <v>0.142391</v>
      </c>
    </row>
    <row r="124">
      <c r="D124" s="2" t="n">
        <v>0.136391</v>
      </c>
      <c r="E124" s="2" t="n">
        <v>0.137016</v>
      </c>
      <c r="G124" s="2" t="n">
        <v>0.120127</v>
      </c>
      <c r="H124" s="2" t="n">
        <v>0.119315</v>
      </c>
    </row>
    <row r="125">
      <c r="D125" s="2" t="n">
        <v>0.15289</v>
      </c>
      <c r="E125" s="2" t="n">
        <v>0.151118</v>
      </c>
      <c r="G125" s="2" t="n">
        <v>0.119329</v>
      </c>
      <c r="H125" s="2" t="n">
        <v>0.118398</v>
      </c>
    </row>
    <row r="126">
      <c r="D126" s="2" t="n">
        <v>0.124377</v>
      </c>
      <c r="E126" s="2" t="n">
        <v>0.12422</v>
      </c>
      <c r="G126" s="2" t="n">
        <v>0.120843</v>
      </c>
      <c r="H126" s="2" t="n">
        <v>0.12009</v>
      </c>
    </row>
    <row r="127">
      <c r="D127" s="2" t="n">
        <v>0.118118</v>
      </c>
      <c r="E127" s="2" t="n">
        <v>0.117292</v>
      </c>
      <c r="G127" s="2" t="n">
        <v>0.175985</v>
      </c>
      <c r="H127" s="2" t="n">
        <v>0.173922</v>
      </c>
    </row>
    <row r="128">
      <c r="D128" s="2" t="n">
        <v>0.158468</v>
      </c>
      <c r="E128" s="2" t="n">
        <v>0.159663</v>
      </c>
      <c r="G128" s="2" t="n">
        <v>0.11618</v>
      </c>
      <c r="H128" s="2" t="n">
        <v>0.114514</v>
      </c>
    </row>
    <row r="129">
      <c r="D129" s="2" t="n">
        <v>0.125917</v>
      </c>
      <c r="E129" s="2" t="n">
        <v>0.124087</v>
      </c>
      <c r="G129" s="2" t="n">
        <v>0.118161</v>
      </c>
      <c r="H129" s="2" t="n">
        <v>0.118626</v>
      </c>
    </row>
    <row r="130">
      <c r="D130" s="2" t="n">
        <v>0.12588</v>
      </c>
      <c r="E130" s="2" t="n">
        <v>0.125492</v>
      </c>
      <c r="G130" s="2" t="n">
        <v>0.129642</v>
      </c>
      <c r="H130" s="2" t="n">
        <v>0.127161</v>
      </c>
    </row>
    <row r="131">
      <c r="D131" s="2" t="n">
        <v>0.132073</v>
      </c>
      <c r="E131" s="2" t="n">
        <v>0.132542</v>
      </c>
      <c r="G131" s="2" t="n">
        <v>0.133593</v>
      </c>
      <c r="H131" s="2" t="n">
        <v>0.131015</v>
      </c>
    </row>
    <row r="132">
      <c r="D132" s="2" t="n">
        <v>0.112154</v>
      </c>
      <c r="E132" s="2" t="n">
        <v>0.111111</v>
      </c>
      <c r="G132" s="2" t="n">
        <v>0.123889</v>
      </c>
      <c r="H132" s="2" t="n">
        <v>0.120878</v>
      </c>
    </row>
    <row r="133">
      <c r="D133" s="2" t="n">
        <v>0.142864</v>
      </c>
      <c r="E133" s="2" t="n">
        <v>0.139155</v>
      </c>
      <c r="G133" s="2" t="n">
        <v>0.129958</v>
      </c>
      <c r="H133" s="2" t="n">
        <v>0.129309</v>
      </c>
    </row>
    <row r="134">
      <c r="D134" s="2" t="n">
        <v>0.125886</v>
      </c>
      <c r="E134" s="2" t="n">
        <v>0.124807</v>
      </c>
      <c r="G134" s="2" t="n">
        <v>0.119004</v>
      </c>
      <c r="H134" s="2" t="n">
        <v>0.115588</v>
      </c>
    </row>
    <row r="135">
      <c r="D135" s="2" t="n">
        <v>0.125513</v>
      </c>
      <c r="E135" s="2" t="n">
        <v>0.125393</v>
      </c>
      <c r="G135" s="2" t="n">
        <v>0.128435</v>
      </c>
      <c r="H135" s="2" t="n">
        <v>0.126452</v>
      </c>
    </row>
    <row r="136">
      <c r="D136" s="2" t="n">
        <v>0.143203</v>
      </c>
      <c r="E136" s="2" t="n">
        <v>0.14194</v>
      </c>
      <c r="G136" s="2" t="n">
        <v>0.118237</v>
      </c>
      <c r="H136" s="2" t="n">
        <v>0.114937</v>
      </c>
    </row>
    <row r="137">
      <c r="D137" s="2" t="n">
        <v>0.160251</v>
      </c>
      <c r="E137" s="2" t="n">
        <v>0.162614</v>
      </c>
      <c r="G137" s="2" t="n">
        <v>0.126599</v>
      </c>
      <c r="H137" s="2" t="n">
        <v>0.123495</v>
      </c>
    </row>
    <row r="138">
      <c r="D138" s="2" t="n">
        <v>0.130462</v>
      </c>
      <c r="E138" s="2" t="n">
        <v>0.129941</v>
      </c>
      <c r="G138" s="2" t="n">
        <v>0.157536</v>
      </c>
      <c r="H138" s="2" t="n">
        <v>0.154508</v>
      </c>
    </row>
    <row r="139">
      <c r="D139" s="2" t="n">
        <v>0.136156</v>
      </c>
      <c r="E139" s="2" t="n">
        <v>0.13384</v>
      </c>
      <c r="G139" s="2" t="n">
        <v>0.135807</v>
      </c>
      <c r="H139" s="2" t="n">
        <v>0.131408</v>
      </c>
    </row>
    <row r="140">
      <c r="D140" s="2" t="n">
        <v>0.226164</v>
      </c>
      <c r="E140" s="2" t="n">
        <v>0.224106</v>
      </c>
      <c r="G140" s="2" t="n">
        <v>0.121287</v>
      </c>
      <c r="H140" s="2" t="n">
        <v>0.119831</v>
      </c>
    </row>
    <row r="141">
      <c r="D141" s="2" t="n">
        <v>0.1211</v>
      </c>
      <c r="E141" s="2" t="n">
        <v>0.120225</v>
      </c>
      <c r="G141" s="2" t="n">
        <v>0.140946</v>
      </c>
      <c r="H141" s="2" t="n">
        <v>0.138264</v>
      </c>
    </row>
    <row r="142">
      <c r="D142" s="2" t="n">
        <v>0.130323</v>
      </c>
      <c r="E142" s="2" t="n">
        <v>0.130083</v>
      </c>
      <c r="G142" s="2" t="n">
        <v>0.133256</v>
      </c>
      <c r="H142" s="2" t="n">
        <v>0.135113</v>
      </c>
    </row>
    <row r="143">
      <c r="D143" s="2" t="n">
        <v>0.125669</v>
      </c>
      <c r="E143" s="2" t="n">
        <v>0.124794</v>
      </c>
      <c r="G143" s="2" t="n">
        <v>0.117724</v>
      </c>
      <c r="H143" s="2" t="n">
        <v>0.116828</v>
      </c>
    </row>
    <row r="144">
      <c r="D144" s="2" t="n">
        <v>0.144325</v>
      </c>
      <c r="E144" s="2" t="n">
        <v>0.142122</v>
      </c>
      <c r="G144" s="2" t="n">
        <v>0.11091</v>
      </c>
      <c r="H144" s="2" t="n">
        <v>0.107271</v>
      </c>
    </row>
    <row r="145">
      <c r="D145" s="2" t="n">
        <v>0.11772</v>
      </c>
      <c r="E145" s="2" t="n">
        <v>0.116449</v>
      </c>
      <c r="G145" s="2" t="n">
        <v>0.124584</v>
      </c>
      <c r="H145" s="2" t="n">
        <v>0.123117</v>
      </c>
    </row>
    <row r="146">
      <c r="D146" s="2" t="n">
        <v>0.118665</v>
      </c>
      <c r="E146" s="2" t="n">
        <v>0.115299</v>
      </c>
      <c r="G146" s="2" t="n">
        <v>0.120635</v>
      </c>
      <c r="H146" s="2" t="n">
        <v>0.119252</v>
      </c>
    </row>
    <row r="147">
      <c r="D147" s="2" t="n">
        <v>0.123618</v>
      </c>
      <c r="E147" s="2" t="n">
        <v>0.119548</v>
      </c>
      <c r="G147" s="2" t="n">
        <v>0.110373</v>
      </c>
      <c r="H147" s="2" t="n">
        <v>0.109103</v>
      </c>
    </row>
    <row r="148">
      <c r="D148" s="2" t="n">
        <v>0.124518</v>
      </c>
      <c r="E148" s="2" t="n">
        <v>0.123671</v>
      </c>
      <c r="G148" s="2" t="n">
        <v>0.116908</v>
      </c>
      <c r="H148" s="2" t="n">
        <v>0.115376</v>
      </c>
    </row>
    <row r="149">
      <c r="D149" s="2" t="n">
        <v>0.161996</v>
      </c>
      <c r="E149" s="2" t="n">
        <v>0.158891</v>
      </c>
      <c r="G149" s="2" t="n">
        <v>0.128106</v>
      </c>
      <c r="H149" s="2" t="n">
        <v>0.126303</v>
      </c>
    </row>
    <row r="150">
      <c r="D150" s="2" t="n">
        <v>0.115611</v>
      </c>
      <c r="E150" s="2" t="n">
        <v>0.114405</v>
      </c>
      <c r="G150" s="2" t="n">
        <v>0.130332</v>
      </c>
      <c r="H150" s="2" t="n">
        <v>0.128209</v>
      </c>
    </row>
    <row r="151">
      <c r="D151" s="2" t="n">
        <v>0.130062</v>
      </c>
      <c r="E151" s="2" t="n">
        <v>0.129242</v>
      </c>
      <c r="G151" s="2" t="n">
        <v>0.126696</v>
      </c>
      <c r="H151" s="2" t="n">
        <v>0.123562</v>
      </c>
    </row>
    <row r="152">
      <c r="D152" s="2" t="n">
        <v>0.14039</v>
      </c>
      <c r="E152" s="2" t="n">
        <v>0.142042</v>
      </c>
      <c r="G152" s="2" t="n">
        <v>0.132659</v>
      </c>
      <c r="H152" s="2" t="n">
        <v>0.129722</v>
      </c>
    </row>
    <row r="153">
      <c r="D153" s="2" t="n">
        <v>0.141495</v>
      </c>
      <c r="E153" s="2" t="n">
        <v>0.138393</v>
      </c>
      <c r="G153" s="2" t="n">
        <v>0.124035</v>
      </c>
      <c r="H153" s="2" t="n">
        <v>0.121377</v>
      </c>
    </row>
    <row r="154">
      <c r="D154" s="2" t="n">
        <v>0.12965</v>
      </c>
      <c r="E154" s="2" t="n">
        <v>0.128269</v>
      </c>
      <c r="G154" s="2" t="n">
        <v>0.120224</v>
      </c>
      <c r="H154" s="2" t="n">
        <v>0.117258</v>
      </c>
    </row>
    <row r="155">
      <c r="D155" s="2" t="n">
        <v>0.129566</v>
      </c>
      <c r="E155" s="2" t="n">
        <v>0.130889</v>
      </c>
      <c r="G155" s="2" t="n">
        <v>0.109767</v>
      </c>
      <c r="H155" s="2" t="n">
        <v>0.106784</v>
      </c>
    </row>
    <row r="156">
      <c r="D156" s="2" t="n">
        <v>0.138218</v>
      </c>
      <c r="E156" s="2" t="n">
        <v>0.135838</v>
      </c>
      <c r="G156" s="2" t="n">
        <v>0.126269</v>
      </c>
      <c r="H156" s="2" t="n">
        <v>0.123341</v>
      </c>
    </row>
    <row r="157">
      <c r="D157" s="2" t="n">
        <v>0.121821</v>
      </c>
      <c r="E157" s="2" t="n">
        <v>0.118624</v>
      </c>
      <c r="G157" s="2" t="n">
        <v>0.126612</v>
      </c>
      <c r="H157" s="2" t="n">
        <v>0.122116</v>
      </c>
    </row>
    <row r="158">
      <c r="D158" s="2" t="n">
        <v>0.115587</v>
      </c>
      <c r="E158" s="2" t="n">
        <v>0.116127</v>
      </c>
      <c r="G158" s="2" t="n">
        <v>0.13014</v>
      </c>
      <c r="H158" s="2" t="n">
        <v>0.129933</v>
      </c>
    </row>
    <row r="159">
      <c r="D159" s="2" t="n">
        <v>0.140089</v>
      </c>
      <c r="E159" s="2" t="n">
        <v>0.137132</v>
      </c>
      <c r="G159" s="2" t="n">
        <v>0.120265</v>
      </c>
      <c r="H159" s="2" t="n">
        <v>0.117316</v>
      </c>
    </row>
    <row r="160">
      <c r="D160" s="2" t="n">
        <v>0.118068</v>
      </c>
      <c r="E160" s="2" t="n">
        <v>0.117773</v>
      </c>
      <c r="G160" s="2" t="n">
        <v>0.120267</v>
      </c>
      <c r="H160" s="2" t="n">
        <v>0.118446</v>
      </c>
    </row>
    <row r="161">
      <c r="D161" s="2" t="n">
        <v>0.116884</v>
      </c>
      <c r="E161" s="2" t="n">
        <v>0.116526</v>
      </c>
      <c r="G161" s="2" t="n">
        <v>0.111278</v>
      </c>
      <c r="H161" s="2" t="n">
        <v>0.108807</v>
      </c>
    </row>
    <row r="162">
      <c r="D162" s="2" t="n">
        <v>0.122045</v>
      </c>
      <c r="E162" s="2" t="n">
        <v>0.118466</v>
      </c>
      <c r="G162" s="2" t="n">
        <v>0.118345</v>
      </c>
      <c r="H162" s="2" t="n">
        <v>0.115128</v>
      </c>
    </row>
    <row r="163">
      <c r="D163" s="2" t="n">
        <v>0.11168</v>
      </c>
      <c r="E163" s="2" t="n">
        <v>0.11034</v>
      </c>
      <c r="G163" s="2" t="n">
        <v>0.117602</v>
      </c>
      <c r="H163" s="2" t="n">
        <v>0.116085</v>
      </c>
    </row>
    <row r="164">
      <c r="D164" s="2" t="n">
        <v>0.116263</v>
      </c>
      <c r="E164" s="2" t="n">
        <v>0.114088</v>
      </c>
      <c r="G164" s="2" t="n">
        <v>0.11667</v>
      </c>
      <c r="H164" s="2" t="n">
        <v>0.114655</v>
      </c>
    </row>
    <row r="165">
      <c r="D165" s="2" t="n">
        <v>0.118332</v>
      </c>
      <c r="E165" s="2" t="n">
        <v>0.117061</v>
      </c>
      <c r="G165" s="2" t="n">
        <v>0.114515</v>
      </c>
      <c r="H165" s="2" t="n">
        <v>0.111808</v>
      </c>
    </row>
    <row r="166">
      <c r="D166" s="2" t="n">
        <v>0.114796</v>
      </c>
      <c r="E166" s="2" t="n">
        <v>0.114663</v>
      </c>
      <c r="G166" s="2" t="n">
        <v>0.116441</v>
      </c>
      <c r="H166" s="2" t="n">
        <v>0.117168</v>
      </c>
    </row>
    <row r="167">
      <c r="D167" s="2" t="n">
        <v>0.138211</v>
      </c>
      <c r="E167" s="2" t="n">
        <v>0.136826</v>
      </c>
      <c r="G167" s="2" t="n">
        <v>0.124651</v>
      </c>
      <c r="H167" s="2" t="n">
        <v>0.12452</v>
      </c>
    </row>
    <row r="168">
      <c r="D168" s="2" t="n">
        <v>0.108067</v>
      </c>
      <c r="E168" s="2" t="n">
        <v>0.106312</v>
      </c>
      <c r="G168" s="2" t="n">
        <v>0.109014</v>
      </c>
      <c r="H168" s="2" t="n">
        <v>0.105536</v>
      </c>
    </row>
    <row r="169">
      <c r="D169" s="2" t="n">
        <v>0.120681</v>
      </c>
      <c r="E169" s="2" t="n">
        <v>0.117645</v>
      </c>
      <c r="G169" s="2" t="n">
        <v>0.122933</v>
      </c>
      <c r="H169" s="2" t="n">
        <v>0.121404</v>
      </c>
    </row>
    <row r="170">
      <c r="D170" s="2" t="n">
        <v>0.134641</v>
      </c>
      <c r="E170" s="2" t="n">
        <v>0.129777</v>
      </c>
      <c r="G170" s="2" t="n">
        <v>0.105156</v>
      </c>
      <c r="H170" s="2" t="n">
        <v>0.101803</v>
      </c>
    </row>
    <row r="171">
      <c r="D171" s="2" t="n">
        <v>0.112078</v>
      </c>
      <c r="E171" s="2" t="n">
        <v>0.110505</v>
      </c>
      <c r="G171" s="2" t="n">
        <v>0.115171</v>
      </c>
      <c r="H171" s="2" t="n">
        <v>0.113251</v>
      </c>
    </row>
    <row r="172">
      <c r="D172" s="2" t="n">
        <v>0.111388</v>
      </c>
      <c r="E172" s="2" t="n">
        <v>0.109915</v>
      </c>
      <c r="G172" s="2" t="n">
        <v>0.115482</v>
      </c>
      <c r="H172" s="2" t="n">
        <v>0.111424</v>
      </c>
    </row>
    <row r="173">
      <c r="D173" s="2" t="n">
        <v>0.116194</v>
      </c>
      <c r="E173" s="2" t="n">
        <v>0.113057</v>
      </c>
      <c r="G173" s="2" t="n">
        <v>0.109707</v>
      </c>
      <c r="H173" s="2" t="n">
        <v>0.1056</v>
      </c>
    </row>
    <row r="174">
      <c r="D174" s="2" t="n">
        <v>0.110735</v>
      </c>
      <c r="E174" s="2" t="n">
        <v>0.108129</v>
      </c>
      <c r="G174" s="2" t="n">
        <v>0.129638</v>
      </c>
      <c r="H174" s="2" t="n">
        <v>0.128036</v>
      </c>
    </row>
    <row r="175">
      <c r="D175" s="2" t="n">
        <v>0.130956</v>
      </c>
      <c r="E175" s="2" t="n">
        <v>0.130304</v>
      </c>
      <c r="G175" s="2" t="n">
        <v>0.145531</v>
      </c>
      <c r="H175" s="2" t="n">
        <v>0.143899</v>
      </c>
    </row>
    <row r="176">
      <c r="D176" s="2" t="n">
        <v>0.124978</v>
      </c>
      <c r="E176" s="2" t="n">
        <v>0.120443</v>
      </c>
      <c r="G176" s="2" t="n">
        <v>0.129027</v>
      </c>
      <c r="H176" s="2" t="n">
        <v>0.127051</v>
      </c>
    </row>
    <row r="177">
      <c r="D177" s="2" t="n">
        <v>0.131981</v>
      </c>
      <c r="E177" s="2" t="n">
        <v>0.132807</v>
      </c>
      <c r="G177" s="2" t="n">
        <v>0.110146</v>
      </c>
      <c r="H177" s="2" t="n">
        <v>0.107846</v>
      </c>
    </row>
    <row r="178">
      <c r="D178" s="2" t="n">
        <v>0.112032</v>
      </c>
      <c r="E178" s="2" t="n">
        <v>0.110958</v>
      </c>
      <c r="G178" s="2" t="n">
        <v>0.122115</v>
      </c>
      <c r="H178" s="2" t="n">
        <v>0.118832</v>
      </c>
    </row>
    <row r="179">
      <c r="D179" s="2" t="n">
        <v>0.122377</v>
      </c>
      <c r="E179" s="2" t="n">
        <v>0.120671</v>
      </c>
      <c r="G179" s="2" t="n">
        <v>0.132587</v>
      </c>
      <c r="H179" s="2" t="n">
        <v>0.13241</v>
      </c>
    </row>
    <row r="180">
      <c r="D180" s="2" t="n">
        <v>0.117704</v>
      </c>
      <c r="E180" s="2" t="n">
        <v>0.114893</v>
      </c>
      <c r="G180" s="2" t="n">
        <v>0.132338</v>
      </c>
      <c r="H180" s="2" t="n">
        <v>0.130055</v>
      </c>
    </row>
    <row r="181">
      <c r="D181" s="2" t="n">
        <v>0.113691</v>
      </c>
      <c r="E181" s="2" t="n">
        <v>0.112216</v>
      </c>
      <c r="G181" s="2" t="n">
        <v>0.122533</v>
      </c>
      <c r="H181" s="2" t="n">
        <v>0.120142</v>
      </c>
    </row>
    <row r="182">
      <c r="D182" s="2" t="n">
        <v>0.106402</v>
      </c>
      <c r="E182" s="2" t="n">
        <v>0.103911</v>
      </c>
      <c r="G182" s="2" t="n">
        <v>0.115616</v>
      </c>
      <c r="H182" s="2" t="n">
        <v>0.111547</v>
      </c>
    </row>
    <row r="183">
      <c r="D183" s="2" t="n">
        <v>0.110131</v>
      </c>
      <c r="E183" s="2" t="n">
        <v>0.108592</v>
      </c>
      <c r="G183" s="2" t="n">
        <v>0.108713</v>
      </c>
      <c r="H183" s="2" t="n">
        <v>0.107001</v>
      </c>
    </row>
    <row r="184">
      <c r="D184" s="2" t="n">
        <v>0.105639</v>
      </c>
      <c r="E184" s="2" t="n">
        <v>0.103556</v>
      </c>
      <c r="G184" s="2" t="n">
        <v>0.125204</v>
      </c>
      <c r="H184" s="2" t="n">
        <v>0.122708</v>
      </c>
    </row>
    <row r="185">
      <c r="D185" s="2" t="n">
        <v>0.166085</v>
      </c>
      <c r="E185" s="2" t="n">
        <v>0.161908</v>
      </c>
      <c r="G185" s="2" t="n">
        <v>0.126307</v>
      </c>
      <c r="H185" s="2" t="n">
        <v>0.123962</v>
      </c>
    </row>
    <row r="186">
      <c r="D186" s="2" t="n">
        <v>0.117537</v>
      </c>
      <c r="E186" s="2" t="n">
        <v>0.117187</v>
      </c>
      <c r="G186" s="2" t="n">
        <v>0.108162</v>
      </c>
      <c r="H186" s="2" t="n">
        <v>0.107455</v>
      </c>
    </row>
    <row r="187">
      <c r="D187" s="2" t="n">
        <v>0.12001</v>
      </c>
      <c r="E187" s="2" t="n">
        <v>0.119467</v>
      </c>
      <c r="G187" s="2" t="n">
        <v>0.121592</v>
      </c>
      <c r="H187" s="2" t="n">
        <v>0.1196</v>
      </c>
    </row>
    <row r="188">
      <c r="D188" s="2" t="n">
        <v>0.111209</v>
      </c>
      <c r="E188" s="2" t="n">
        <v>0.108863</v>
      </c>
      <c r="G188" s="2" t="n">
        <v>0.122073</v>
      </c>
      <c r="H188" s="2" t="n">
        <v>0.122061</v>
      </c>
    </row>
    <row r="189">
      <c r="D189" s="2" t="n">
        <v>0.132989</v>
      </c>
      <c r="E189" s="2" t="n">
        <v>0.131299</v>
      </c>
      <c r="G189" s="2" t="n">
        <v>0.118868</v>
      </c>
      <c r="H189" s="2" t="n">
        <v>0.119516</v>
      </c>
    </row>
    <row r="190">
      <c r="D190" s="2" t="n">
        <v>0.107273</v>
      </c>
      <c r="E190" s="2" t="n">
        <v>0.106502</v>
      </c>
      <c r="G190" s="2" t="n">
        <v>0.107558</v>
      </c>
      <c r="H190" s="2" t="n">
        <v>0.104069</v>
      </c>
    </row>
    <row r="191">
      <c r="D191" s="2" t="n">
        <v>0.145186</v>
      </c>
      <c r="E191" s="2" t="n">
        <v>0.143932</v>
      </c>
      <c r="G191" s="2" t="n">
        <v>0.119708</v>
      </c>
      <c r="H191" s="2" t="n">
        <v>0.118828</v>
      </c>
    </row>
    <row r="192">
      <c r="D192" s="2" t="n">
        <v>0.108823</v>
      </c>
      <c r="E192" s="2" t="n">
        <v>0.105657</v>
      </c>
      <c r="G192" s="2" t="n">
        <v>0.108165</v>
      </c>
      <c r="H192" s="2" t="n">
        <v>0.106247</v>
      </c>
    </row>
    <row r="193">
      <c r="D193" s="2" t="n">
        <v>0.109872</v>
      </c>
      <c r="E193" s="2" t="n">
        <v>0.108215</v>
      </c>
      <c r="G193" s="2" t="n">
        <v>0.1132</v>
      </c>
      <c r="H193" s="2" t="n">
        <v>0.112963</v>
      </c>
    </row>
    <row r="194">
      <c r="D194" s="2" t="n">
        <v>0.1201</v>
      </c>
      <c r="E194" s="2" t="n">
        <v>0.116282</v>
      </c>
      <c r="G194" s="2" t="n">
        <v>0.10092</v>
      </c>
      <c r="H194" s="2" t="n">
        <v>0.09816999999999999</v>
      </c>
    </row>
    <row r="195">
      <c r="D195" s="2" t="n">
        <v>0.114323</v>
      </c>
      <c r="E195" s="2" t="n">
        <v>0.113214</v>
      </c>
      <c r="G195" s="2" t="n">
        <v>0.109905</v>
      </c>
      <c r="H195" s="2" t="n">
        <v>0.107575</v>
      </c>
    </row>
    <row r="196">
      <c r="D196" s="2" t="n">
        <v>0.109273</v>
      </c>
      <c r="E196" s="2" t="n">
        <v>0.108483</v>
      </c>
      <c r="G196" s="2" t="n">
        <v>0.104096</v>
      </c>
      <c r="H196" s="2" t="n">
        <v>0.100271</v>
      </c>
    </row>
    <row r="197">
      <c r="D197" s="2" t="n">
        <v>0.142696</v>
      </c>
      <c r="E197" s="2" t="n">
        <v>0.140099</v>
      </c>
      <c r="G197" s="2" t="n">
        <v>0.122775</v>
      </c>
      <c r="H197" s="2" t="n">
        <v>0.12114</v>
      </c>
    </row>
    <row r="198">
      <c r="D198" s="2" t="n">
        <v>0.105513</v>
      </c>
      <c r="E198" s="2" t="n">
        <v>0.102931</v>
      </c>
      <c r="G198" s="2" t="n">
        <v>0.139413</v>
      </c>
      <c r="H198" s="2" t="n">
        <v>0.135995</v>
      </c>
    </row>
    <row r="199">
      <c r="D199" s="2" t="n">
        <v>0.13976</v>
      </c>
      <c r="E199" s="2" t="n">
        <v>0.13624</v>
      </c>
      <c r="G199" s="2" t="n">
        <v>0.124793</v>
      </c>
      <c r="H199" s="2" t="n">
        <v>0.122614</v>
      </c>
    </row>
    <row r="200">
      <c r="D200" s="2" t="n">
        <v>0.129144</v>
      </c>
      <c r="E200" s="2" t="n">
        <v>0.125821</v>
      </c>
      <c r="G200" s="2" t="n">
        <v>0.126255</v>
      </c>
      <c r="H200" s="2" t="n">
        <v>0.12247</v>
      </c>
    </row>
    <row r="201">
      <c r="D201" s="2" t="n">
        <v>0.105962</v>
      </c>
      <c r="E201" s="2" t="n">
        <v>0.105122</v>
      </c>
      <c r="G201" s="2" t="n">
        <v>0.132809</v>
      </c>
      <c r="H201" s="2" t="n">
        <v>0.131632</v>
      </c>
    </row>
    <row r="202">
      <c r="D202" s="2" t="n">
        <v>0.111574</v>
      </c>
      <c r="E202" s="2" t="n">
        <v>0.109133</v>
      </c>
      <c r="G202" s="2" t="n">
        <v>0.123035</v>
      </c>
      <c r="H202" s="2" t="n">
        <v>0.122959</v>
      </c>
    </row>
    <row r="203">
      <c r="D203" s="2" t="n">
        <v>0.110264</v>
      </c>
      <c r="E203" s="2" t="n">
        <v>0.109371</v>
      </c>
      <c r="G203" s="2" t="n">
        <v>0.126027</v>
      </c>
      <c r="H203" s="2" t="n">
        <v>0.123306</v>
      </c>
    </row>
    <row r="204">
      <c r="D204" s="2" t="n">
        <v>0.124234</v>
      </c>
      <c r="E204" s="2" t="n">
        <v>0.121553</v>
      </c>
      <c r="G204" s="2" t="n">
        <v>0.121213</v>
      </c>
      <c r="H204" s="2" t="n">
        <v>0.120389</v>
      </c>
    </row>
    <row r="205">
      <c r="D205" s="2" t="n">
        <v>0.126646</v>
      </c>
      <c r="E205" s="2" t="n">
        <v>0.122855</v>
      </c>
      <c r="G205" s="2" t="n">
        <v>0.114646</v>
      </c>
      <c r="H205" s="2" t="n">
        <v>0.112415</v>
      </c>
    </row>
    <row r="206">
      <c r="D206" s="2" t="n">
        <v>0.128367</v>
      </c>
      <c r="E206" s="2" t="n">
        <v>0.12611</v>
      </c>
      <c r="G206" s="2" t="n">
        <v>0.10731</v>
      </c>
      <c r="H206" s="2" t="n">
        <v>0.10412</v>
      </c>
    </row>
    <row r="207">
      <c r="D207" s="2" t="n">
        <v>0.108323</v>
      </c>
      <c r="E207" s="2" t="n">
        <v>0.107494</v>
      </c>
      <c r="G207" s="2" t="n">
        <v>0.10771</v>
      </c>
      <c r="H207" s="2" t="n">
        <v>0.10656</v>
      </c>
    </row>
    <row r="208">
      <c r="D208" s="2" t="n">
        <v>0.106156</v>
      </c>
      <c r="E208" s="2" t="n">
        <v>0.105055</v>
      </c>
      <c r="G208" s="2" t="n">
        <v>0.108083</v>
      </c>
      <c r="H208" s="2" t="n">
        <v>0.107833</v>
      </c>
    </row>
    <row r="209">
      <c r="D209" s="2" t="n">
        <v>0.132978</v>
      </c>
      <c r="E209" s="2" t="n">
        <v>0.134401</v>
      </c>
      <c r="G209" s="2" t="n">
        <v>0.124079</v>
      </c>
      <c r="H209" s="2" t="n">
        <v>0.123613</v>
      </c>
    </row>
    <row r="210">
      <c r="D210" s="2" t="n">
        <v>0.101308</v>
      </c>
      <c r="E210" s="2" t="n">
        <v>0.099832</v>
      </c>
      <c r="G210" s="2" t="n">
        <v>0.10903</v>
      </c>
      <c r="H210" s="2" t="n">
        <v>0.108248</v>
      </c>
    </row>
    <row r="211">
      <c r="D211" s="2" t="n">
        <v>0.109202</v>
      </c>
      <c r="E211" s="2" t="n">
        <v>0.10578</v>
      </c>
      <c r="G211" s="2" t="n">
        <v>0.104523</v>
      </c>
      <c r="H211" s="2" t="n">
        <v>0.102842</v>
      </c>
    </row>
    <row r="212">
      <c r="D212" s="2" t="n">
        <v>0.110852</v>
      </c>
      <c r="E212" s="2" t="n">
        <v>0.108307</v>
      </c>
      <c r="G212" s="2" t="n">
        <v>0.119444</v>
      </c>
      <c r="H212" s="2" t="n">
        <v>0.116457</v>
      </c>
    </row>
    <row r="213">
      <c r="D213" s="2" t="n">
        <v>0.114156</v>
      </c>
      <c r="E213" s="2" t="n">
        <v>0.110383</v>
      </c>
      <c r="G213" s="2" t="n">
        <v>0.106297</v>
      </c>
      <c r="H213" s="2" t="n">
        <v>0.103826</v>
      </c>
    </row>
    <row r="214">
      <c r="D214" s="2" t="n">
        <v>0.11984</v>
      </c>
      <c r="E214" s="2" t="n">
        <v>0.117436</v>
      </c>
      <c r="G214" s="2" t="n">
        <v>0.108622</v>
      </c>
      <c r="H214" s="2" t="n">
        <v>0.105324</v>
      </c>
    </row>
    <row r="215">
      <c r="D215" s="2" t="n">
        <v>0.114965</v>
      </c>
      <c r="E215" s="2" t="n">
        <v>0.11387</v>
      </c>
      <c r="G215" s="2" t="n">
        <v>0.118167</v>
      </c>
      <c r="H215" s="2" t="n">
        <v>0.114867</v>
      </c>
    </row>
    <row r="216">
      <c r="D216" s="2" t="n">
        <v>0.110316</v>
      </c>
      <c r="E216" s="2" t="n">
        <v>0.112537</v>
      </c>
      <c r="G216" s="2" t="n">
        <v>0.130663</v>
      </c>
      <c r="H216" s="2" t="n">
        <v>0.130215</v>
      </c>
    </row>
    <row r="217">
      <c r="D217" s="2" t="n">
        <v>0.115534</v>
      </c>
      <c r="E217" s="2" t="n">
        <v>0.114463</v>
      </c>
      <c r="G217" s="2" t="n">
        <v>0.135502</v>
      </c>
      <c r="H217" s="2" t="n">
        <v>0.133391</v>
      </c>
    </row>
    <row r="218">
      <c r="D218" s="2" t="n">
        <v>0.106686</v>
      </c>
      <c r="E218" s="2" t="n">
        <v>0.105142</v>
      </c>
      <c r="G218" s="2" t="n">
        <v>0.103122</v>
      </c>
      <c r="H218" s="2" t="n">
        <v>0.103097</v>
      </c>
    </row>
    <row r="219">
      <c r="D219" s="2" t="n">
        <v>0.13517</v>
      </c>
      <c r="E219" s="2" t="n">
        <v>0.130784</v>
      </c>
      <c r="G219" s="2" t="n">
        <v>0.11057</v>
      </c>
      <c r="H219" s="2" t="n">
        <v>0.108213</v>
      </c>
    </row>
    <row r="220">
      <c r="D220" s="2" t="n">
        <v>0.110107</v>
      </c>
      <c r="E220" s="2" t="n">
        <v>0.108596</v>
      </c>
      <c r="G220" s="2" t="n">
        <v>0.097327</v>
      </c>
      <c r="H220" s="2" t="n">
        <v>0.096804</v>
      </c>
    </row>
    <row r="221">
      <c r="D221" s="2" t="n">
        <v>0.115782</v>
      </c>
      <c r="E221" s="2" t="n">
        <v>0.115318</v>
      </c>
      <c r="G221" s="2" t="n">
        <v>0.109274</v>
      </c>
      <c r="H221" s="2" t="n">
        <v>0.106858</v>
      </c>
    </row>
    <row r="222">
      <c r="D222" s="2" t="n">
        <v>0.115774</v>
      </c>
      <c r="E222" s="2" t="n">
        <v>0.113868</v>
      </c>
      <c r="G222" s="2" t="n">
        <v>0.116304</v>
      </c>
      <c r="H222" s="2" t="n">
        <v>0.113401</v>
      </c>
    </row>
    <row r="223">
      <c r="D223" s="2" t="n">
        <v>0.102609</v>
      </c>
      <c r="E223" s="2" t="n">
        <v>0.100629</v>
      </c>
      <c r="G223" s="2" t="n">
        <v>0.109146</v>
      </c>
      <c r="H223" s="2" t="n">
        <v>0.108443</v>
      </c>
    </row>
    <row r="224">
      <c r="D224" s="2" t="n">
        <v>0.110887</v>
      </c>
      <c r="E224" s="2" t="n">
        <v>0.109506</v>
      </c>
      <c r="G224" s="2" t="n">
        <v>0.143612</v>
      </c>
      <c r="H224" s="2" t="n">
        <v>0.140492</v>
      </c>
    </row>
    <row r="225">
      <c r="D225" s="2" t="n">
        <v>0.108025</v>
      </c>
      <c r="E225" s="2" t="n">
        <v>0.106071</v>
      </c>
      <c r="G225" s="2" t="n">
        <v>0.102712</v>
      </c>
      <c r="H225" s="2" t="n">
        <v>0.09941899999999999</v>
      </c>
    </row>
    <row r="226">
      <c r="D226" s="2" t="n">
        <v>0.127973</v>
      </c>
      <c r="E226" s="2" t="n">
        <v>0.126865</v>
      </c>
      <c r="G226" s="2" t="n">
        <v>0.105001</v>
      </c>
      <c r="H226" s="2" t="n">
        <v>0.103004</v>
      </c>
    </row>
    <row r="227">
      <c r="D227" s="2" t="n">
        <v>0.103022</v>
      </c>
      <c r="E227" s="2" t="n">
        <v>0.104339</v>
      </c>
      <c r="G227" s="2" t="n">
        <v>0.112613</v>
      </c>
      <c r="H227" s="2" t="n">
        <v>0.108669</v>
      </c>
    </row>
    <row r="228">
      <c r="D228" s="2" t="n">
        <v>0.116628</v>
      </c>
      <c r="E228" s="2" t="n">
        <v>0.115087</v>
      </c>
      <c r="G228" s="2" t="n">
        <v>0.109087</v>
      </c>
      <c r="H228" s="2" t="n">
        <v>0.106885</v>
      </c>
    </row>
    <row r="229">
      <c r="D229" s="2" t="n">
        <v>0.13228</v>
      </c>
      <c r="E229" s="2" t="n">
        <v>0.128795</v>
      </c>
      <c r="G229" s="2" t="n">
        <v>0.110329</v>
      </c>
      <c r="H229" s="2" t="n">
        <v>0.106931</v>
      </c>
    </row>
    <row r="230">
      <c r="D230" s="2" t="n">
        <v>0.113404</v>
      </c>
      <c r="E230" s="2" t="n">
        <v>0.114129</v>
      </c>
      <c r="G230" s="2" t="n">
        <v>0.106743</v>
      </c>
      <c r="H230" s="2" t="n">
        <v>0.10656</v>
      </c>
    </row>
    <row r="231">
      <c r="D231" s="2" t="n">
        <v>0.12213</v>
      </c>
      <c r="E231" s="2" t="n">
        <v>0.11845</v>
      </c>
      <c r="G231" s="2" t="n">
        <v>0.103837</v>
      </c>
      <c r="H231" s="2" t="n">
        <v>0.100751</v>
      </c>
    </row>
    <row r="232">
      <c r="D232" s="2" t="n">
        <v>0.107711</v>
      </c>
      <c r="E232" s="2" t="n">
        <v>0.104393</v>
      </c>
      <c r="G232" s="2" t="n">
        <v>0.108992</v>
      </c>
      <c r="H232" s="2" t="n">
        <v>0.107801</v>
      </c>
    </row>
    <row r="233">
      <c r="D233" s="2" t="n">
        <v>0.109895</v>
      </c>
      <c r="E233" s="2" t="n">
        <v>0.10645</v>
      </c>
      <c r="G233" s="2" t="n">
        <v>0.105077</v>
      </c>
      <c r="H233" s="2" t="n">
        <v>0.103211</v>
      </c>
    </row>
    <row r="234">
      <c r="D234" s="2" t="n">
        <v>0.113221</v>
      </c>
      <c r="E234" s="2" t="n">
        <v>0.109984</v>
      </c>
      <c r="G234" s="2" t="n">
        <v>0.099688</v>
      </c>
      <c r="H234" s="2" t="n">
        <v>0.099484</v>
      </c>
    </row>
    <row r="235">
      <c r="D235" s="2" t="n">
        <v>0.113091</v>
      </c>
      <c r="E235" s="2" t="n">
        <v>0.109886</v>
      </c>
      <c r="G235" s="2" t="n">
        <v>0.133988</v>
      </c>
      <c r="H235" s="2" t="n">
        <v>0.131742</v>
      </c>
    </row>
    <row r="236">
      <c r="D236" s="2" t="n">
        <v>0.124746</v>
      </c>
      <c r="E236" s="2" t="n">
        <v>0.120886</v>
      </c>
      <c r="G236" s="2" t="n">
        <v>0.09997300000000001</v>
      </c>
      <c r="H236" s="2" t="n">
        <v>0.097284</v>
      </c>
    </row>
    <row r="237">
      <c r="D237" s="2" t="n">
        <v>0.108688</v>
      </c>
      <c r="E237" s="2" t="n">
        <v>0.105833</v>
      </c>
      <c r="G237" s="2" t="n">
        <v>0.101651</v>
      </c>
      <c r="H237" s="2" t="n">
        <v>0.100574</v>
      </c>
    </row>
    <row r="238">
      <c r="D238" s="2" t="n">
        <v>0.11515</v>
      </c>
      <c r="E238" s="2" t="n">
        <v>0.115</v>
      </c>
      <c r="G238" s="2" t="n">
        <v>0.110917</v>
      </c>
      <c r="H238" s="2" t="n">
        <v>0.108983</v>
      </c>
    </row>
    <row r="239">
      <c r="D239" s="2" t="n">
        <v>0.100596</v>
      </c>
      <c r="E239" s="2" t="n">
        <v>0.09814199999999999</v>
      </c>
      <c r="G239" s="2" t="n">
        <v>0.114888</v>
      </c>
      <c r="H239" s="2" t="n">
        <v>0.113</v>
      </c>
    </row>
    <row r="240">
      <c r="D240" s="2" t="n">
        <v>0.122967</v>
      </c>
      <c r="E240" s="2" t="n">
        <v>0.119963</v>
      </c>
      <c r="G240" s="2" t="n">
        <v>0.109143</v>
      </c>
      <c r="H240" s="2" t="n">
        <v>0.107731</v>
      </c>
    </row>
    <row r="241">
      <c r="D241" s="2" t="n">
        <v>0.119485</v>
      </c>
      <c r="E241" s="2" t="n">
        <v>0.117238</v>
      </c>
      <c r="G241" s="2" t="n">
        <v>0.103316</v>
      </c>
      <c r="H241" s="2" t="n">
        <v>0.102768</v>
      </c>
    </row>
    <row r="242">
      <c r="D242" s="2" t="n">
        <v>0.114148</v>
      </c>
      <c r="E242" s="2" t="n">
        <v>0.111826</v>
      </c>
      <c r="G242" s="2" t="n">
        <v>0.102787</v>
      </c>
      <c r="H242" s="2" t="n">
        <v>0.101562</v>
      </c>
    </row>
    <row r="243">
      <c r="D243" s="2" t="n">
        <v>0.100162</v>
      </c>
      <c r="E243" s="2" t="n">
        <v>0.098689</v>
      </c>
      <c r="G243" s="2" t="n">
        <v>0.103815</v>
      </c>
      <c r="H243" s="2" t="n">
        <v>0.100082</v>
      </c>
    </row>
    <row r="244">
      <c r="D244" s="2" t="n">
        <v>0.108048</v>
      </c>
      <c r="E244" s="2" t="n">
        <v>0.108196</v>
      </c>
      <c r="G244" s="2" t="n">
        <v>0.109209</v>
      </c>
      <c r="H244" s="2" t="n">
        <v>0.106548</v>
      </c>
    </row>
    <row r="245">
      <c r="D245" s="2" t="n">
        <v>0.110176</v>
      </c>
      <c r="E245" s="2" t="n">
        <v>0.108123</v>
      </c>
      <c r="G245" s="2" t="n">
        <v>0.107886</v>
      </c>
      <c r="H245" s="2" t="n">
        <v>0.1059</v>
      </c>
    </row>
    <row r="246">
      <c r="D246" s="2" t="n">
        <v>0.106921</v>
      </c>
      <c r="E246" s="2" t="n">
        <v>0.104447</v>
      </c>
      <c r="G246" s="2" t="n">
        <v>0.110236</v>
      </c>
      <c r="H246" s="2" t="n">
        <v>0.109177</v>
      </c>
    </row>
    <row r="247">
      <c r="D247" s="2" t="n">
        <v>0.102619</v>
      </c>
      <c r="E247" s="2" t="n">
        <v>0.100833</v>
      </c>
      <c r="G247" s="2" t="n">
        <v>0.099616</v>
      </c>
      <c r="H247" s="2" t="n">
        <v>0.09886399999999999</v>
      </c>
    </row>
    <row r="248">
      <c r="D248" s="2" t="n">
        <v>0.125773</v>
      </c>
      <c r="E248" s="2" t="n">
        <v>0.121744</v>
      </c>
      <c r="G248" s="2" t="n">
        <v>0.098455</v>
      </c>
      <c r="H248" s="2" t="n">
        <v>0.095871</v>
      </c>
    </row>
    <row r="249">
      <c r="D249" s="2" t="n">
        <v>0.117353</v>
      </c>
      <c r="E249" s="2" t="n">
        <v>0.1147</v>
      </c>
      <c r="G249" s="2" t="n">
        <v>0.117052</v>
      </c>
      <c r="H249" s="2" t="n">
        <v>0.116105</v>
      </c>
    </row>
    <row r="250">
      <c r="D250" s="2" t="n">
        <v>0.114356</v>
      </c>
      <c r="E250" s="2" t="n">
        <v>0.111063</v>
      </c>
      <c r="G250" s="2" t="n">
        <v>0.111789</v>
      </c>
      <c r="H250" s="2" t="n">
        <v>0.110755</v>
      </c>
    </row>
    <row r="251">
      <c r="D251" s="2" t="n">
        <v>0.102592</v>
      </c>
      <c r="E251" s="2" t="n">
        <v>0.10154</v>
      </c>
      <c r="G251" s="2" t="n">
        <v>0.10174</v>
      </c>
      <c r="H251" s="2" t="n">
        <v>0.100081</v>
      </c>
    </row>
    <row r="252">
      <c r="D252" s="2" t="n">
        <v>0.104438</v>
      </c>
      <c r="E252" s="2" t="n">
        <v>0.101077</v>
      </c>
      <c r="G252" s="2" t="n">
        <v>0.105235</v>
      </c>
      <c r="H252" s="2" t="n">
        <v>0.101524</v>
      </c>
    </row>
    <row r="253">
      <c r="D253" s="2" t="n">
        <v>0.114537</v>
      </c>
      <c r="E253" s="2" t="n">
        <v>0.113022</v>
      </c>
      <c r="G253" s="2" t="n">
        <v>0.111787</v>
      </c>
      <c r="H253" s="2" t="n">
        <v>0.110415</v>
      </c>
    </row>
    <row r="254">
      <c r="D254" s="2" t="n">
        <v>0.151987</v>
      </c>
      <c r="E254" s="2" t="n">
        <v>0.150881</v>
      </c>
      <c r="G254" s="2" t="n">
        <v>0.106702</v>
      </c>
      <c r="H254" s="2" t="n">
        <v>0.105262</v>
      </c>
    </row>
    <row r="255">
      <c r="D255" s="2" t="n">
        <v>0.109169</v>
      </c>
      <c r="E255" s="2" t="n">
        <v>0.107329</v>
      </c>
      <c r="G255" s="2" t="n">
        <v>0.100204</v>
      </c>
      <c r="H255" s="2" t="n">
        <v>0.097375</v>
      </c>
    </row>
    <row r="256">
      <c r="D256" s="2" t="n">
        <v>0.126064</v>
      </c>
      <c r="E256" s="2" t="n">
        <v>0.126936</v>
      </c>
      <c r="G256" s="2" t="n">
        <v>0.09654699999999999</v>
      </c>
      <c r="H256" s="2" t="n">
        <v>0.094862</v>
      </c>
    </row>
    <row r="257">
      <c r="D257" s="2" t="n">
        <v>0.118082</v>
      </c>
      <c r="E257" s="2" t="n">
        <v>0.116208</v>
      </c>
      <c r="G257" s="2" t="n">
        <v>0.100373</v>
      </c>
      <c r="H257" s="2" t="n">
        <v>0.098342</v>
      </c>
    </row>
    <row r="258">
      <c r="D258" s="2" t="n">
        <v>0.102032</v>
      </c>
      <c r="E258" s="2" t="n">
        <v>0.100219</v>
      </c>
      <c r="G258" s="2" t="n">
        <v>0.100573</v>
      </c>
      <c r="H258" s="2" t="n">
        <v>0.09830800000000001</v>
      </c>
    </row>
    <row r="259">
      <c r="D259" s="2" t="n">
        <v>0.11044</v>
      </c>
      <c r="E259" s="2" t="n">
        <v>0.109072</v>
      </c>
      <c r="G259" s="2" t="n">
        <v>0.103935</v>
      </c>
      <c r="H259" s="2" t="n">
        <v>0.104033</v>
      </c>
    </row>
    <row r="260">
      <c r="D260" s="2" t="n">
        <v>0.112038</v>
      </c>
      <c r="E260" s="2" t="n">
        <v>0.111206</v>
      </c>
      <c r="G260" s="2" t="n">
        <v>0.096447</v>
      </c>
      <c r="H260" s="2" t="n">
        <v>0.09250800000000001</v>
      </c>
    </row>
    <row r="261">
      <c r="D261" s="2" t="n">
        <v>0.103638</v>
      </c>
      <c r="E261" s="2" t="n">
        <v>0.10137</v>
      </c>
      <c r="G261" s="2" t="n">
        <v>0.102093</v>
      </c>
      <c r="H261" s="2" t="n">
        <v>0.101304</v>
      </c>
    </row>
    <row r="262">
      <c r="D262" s="2" t="n">
        <v>0.133556</v>
      </c>
      <c r="E262" s="2" t="n">
        <v>0.132465</v>
      </c>
      <c r="G262" s="2" t="n">
        <v>0.096541</v>
      </c>
      <c r="H262" s="2" t="n">
        <v>0.095531</v>
      </c>
    </row>
    <row r="263">
      <c r="D263" s="2" t="n">
        <v>0.09826799999999999</v>
      </c>
      <c r="E263" s="2" t="n">
        <v>0.096496</v>
      </c>
      <c r="G263" s="2" t="n">
        <v>0.098957</v>
      </c>
      <c r="H263" s="2" t="n">
        <v>0.096003</v>
      </c>
    </row>
    <row r="264">
      <c r="D264" s="2" t="n">
        <v>0.104936</v>
      </c>
      <c r="E264" s="2" t="n">
        <v>0.102969</v>
      </c>
      <c r="G264" s="2" t="n">
        <v>0.101406</v>
      </c>
      <c r="H264" s="2" t="n">
        <v>0.09944500000000001</v>
      </c>
    </row>
    <row r="265">
      <c r="D265" s="2" t="n">
        <v>0.109745</v>
      </c>
      <c r="E265" s="2" t="n">
        <v>0.108662</v>
      </c>
      <c r="G265" s="2" t="n">
        <v>0.103085</v>
      </c>
      <c r="H265" s="2" t="n">
        <v>0.10216</v>
      </c>
    </row>
    <row r="266">
      <c r="D266" s="2" t="n">
        <v>0.10047</v>
      </c>
      <c r="E266" s="2" t="n">
        <v>0.09846199999999999</v>
      </c>
      <c r="G266" s="2" t="n">
        <v>0.100864</v>
      </c>
      <c r="H266" s="2" t="n">
        <v>0.09835000000000001</v>
      </c>
    </row>
    <row r="267">
      <c r="D267" s="2" t="n">
        <v>0.110893</v>
      </c>
      <c r="E267" s="2" t="n">
        <v>0.111324</v>
      </c>
      <c r="G267" s="2" t="n">
        <v>0.09945</v>
      </c>
      <c r="H267" s="2" t="n">
        <v>0.09876600000000001</v>
      </c>
    </row>
    <row r="268">
      <c r="D268" s="2" t="n">
        <v>0.10082</v>
      </c>
      <c r="E268" s="2" t="n">
        <v>0.099567</v>
      </c>
      <c r="G268" s="2" t="n">
        <v>0.117121</v>
      </c>
      <c r="H268" s="2" t="n">
        <v>0.114522</v>
      </c>
    </row>
    <row r="269">
      <c r="D269" s="2" t="n">
        <v>0.102847</v>
      </c>
      <c r="E269" s="2" t="n">
        <v>0.099427</v>
      </c>
      <c r="G269" s="2" t="n">
        <v>0.094901</v>
      </c>
      <c r="H269" s="2" t="n">
        <v>0.09254800000000001</v>
      </c>
    </row>
    <row r="270">
      <c r="D270" s="2" t="n">
        <v>0.113371</v>
      </c>
      <c r="E270" s="2" t="n">
        <v>0.113964</v>
      </c>
      <c r="G270" s="2" t="n">
        <v>0.11406</v>
      </c>
      <c r="H270" s="2" t="n">
        <v>0.112464</v>
      </c>
    </row>
    <row r="271">
      <c r="D271" s="2" t="n">
        <v>0.099927</v>
      </c>
      <c r="E271" s="2" t="n">
        <v>0.09818200000000001</v>
      </c>
      <c r="G271" s="2" t="n">
        <v>0.121677</v>
      </c>
      <c r="H271" s="2" t="n">
        <v>0.119394</v>
      </c>
    </row>
    <row r="272">
      <c r="D272" s="2" t="n">
        <v>0.10218</v>
      </c>
      <c r="E272" s="2" t="n">
        <v>0.097708</v>
      </c>
      <c r="G272" s="2" t="n">
        <v>0.115536</v>
      </c>
      <c r="H272" s="2" t="n">
        <v>0.113373</v>
      </c>
    </row>
    <row r="273">
      <c r="D273" s="2" t="n">
        <v>0.112623</v>
      </c>
      <c r="E273" s="2" t="n">
        <v>0.110823</v>
      </c>
      <c r="G273" s="2" t="n">
        <v>0.122035</v>
      </c>
      <c r="H273" s="2" t="n">
        <v>0.119462</v>
      </c>
    </row>
    <row r="274">
      <c r="D274" s="2" t="n">
        <v>0.103265</v>
      </c>
      <c r="E274" s="2" t="n">
        <v>0.100775</v>
      </c>
      <c r="G274" s="2" t="n">
        <v>0.102339</v>
      </c>
      <c r="H274" s="2" t="n">
        <v>0.100809</v>
      </c>
    </row>
    <row r="275">
      <c r="D275" s="2" t="n">
        <v>0.102184</v>
      </c>
      <c r="E275" s="2" t="n">
        <v>0.09780999999999999</v>
      </c>
      <c r="G275" s="2" t="n">
        <v>0.117971</v>
      </c>
      <c r="H275" s="2" t="n">
        <v>0.116771</v>
      </c>
    </row>
    <row r="276">
      <c r="D276" s="2" t="n">
        <v>0.109455</v>
      </c>
      <c r="E276" s="2" t="n">
        <v>0.107456</v>
      </c>
      <c r="G276" s="2" t="n">
        <v>0.103678</v>
      </c>
      <c r="H276" s="2" t="n">
        <v>0.101752</v>
      </c>
    </row>
    <row r="277">
      <c r="D277" s="2" t="n">
        <v>0.099414</v>
      </c>
      <c r="E277" s="2" t="n">
        <v>0.096168</v>
      </c>
      <c r="G277" s="2" t="n">
        <v>0.099519</v>
      </c>
      <c r="H277" s="2" t="n">
        <v>0.09975100000000001</v>
      </c>
    </row>
    <row r="278">
      <c r="D278" s="2" t="n">
        <v>0.109994</v>
      </c>
      <c r="E278" s="2" t="n">
        <v>0.109138</v>
      </c>
      <c r="G278" s="2" t="n">
        <v>0.096909</v>
      </c>
      <c r="H278" s="2" t="n">
        <v>0.094499</v>
      </c>
    </row>
    <row r="279">
      <c r="D279" s="2" t="n">
        <v>0.100903</v>
      </c>
      <c r="E279" s="2" t="n">
        <v>0.098604</v>
      </c>
      <c r="G279" s="2" t="n">
        <v>0.097899</v>
      </c>
      <c r="H279" s="2" t="n">
        <v>0.09706099999999999</v>
      </c>
    </row>
    <row r="280">
      <c r="D280" s="2" t="n">
        <v>0.11544</v>
      </c>
      <c r="E280" s="2" t="n">
        <v>0.112747</v>
      </c>
      <c r="G280" s="2" t="n">
        <v>0.099402</v>
      </c>
      <c r="H280" s="2" t="n">
        <v>0.096236</v>
      </c>
    </row>
    <row r="281">
      <c r="D281" s="2" t="n">
        <v>0.104854</v>
      </c>
      <c r="E281" s="2" t="n">
        <v>0.104288</v>
      </c>
      <c r="G281" s="2" t="n">
        <v>0.09866900000000001</v>
      </c>
      <c r="H281" s="2" t="n">
        <v>0.096693</v>
      </c>
    </row>
    <row r="282">
      <c r="D282" s="2" t="n">
        <v>0.100259</v>
      </c>
      <c r="E282" s="2" t="n">
        <v>0.098353</v>
      </c>
      <c r="G282" s="2" t="n">
        <v>0.111523</v>
      </c>
      <c r="H282" s="2" t="n">
        <v>0.109357</v>
      </c>
    </row>
    <row r="283">
      <c r="D283" s="2" t="n">
        <v>0.09848899999999999</v>
      </c>
      <c r="E283" s="2" t="n">
        <v>0.096932</v>
      </c>
      <c r="G283" s="2" t="n">
        <v>0.099699</v>
      </c>
      <c r="H283" s="2" t="n">
        <v>0.098012</v>
      </c>
    </row>
    <row r="284">
      <c r="D284" s="2" t="n">
        <v>0.094926</v>
      </c>
      <c r="E284" s="2" t="n">
        <v>0.094956</v>
      </c>
      <c r="G284" s="2" t="n">
        <v>0.100199</v>
      </c>
      <c r="H284" s="2" t="n">
        <v>0.099564</v>
      </c>
    </row>
    <row r="285">
      <c r="D285" s="2" t="n">
        <v>0.094212</v>
      </c>
      <c r="E285" s="2" t="n">
        <v>0.092068</v>
      </c>
      <c r="G285" s="2" t="n">
        <v>0.121422</v>
      </c>
      <c r="H285" s="2" t="n">
        <v>0.118222</v>
      </c>
    </row>
    <row r="286">
      <c r="D286" s="2" t="n">
        <v>0.09826500000000001</v>
      </c>
      <c r="E286" s="2" t="n">
        <v>0.09655</v>
      </c>
      <c r="G286" s="2" t="n">
        <v>0.098426</v>
      </c>
      <c r="H286" s="2" t="n">
        <v>0.095538</v>
      </c>
    </row>
    <row r="287">
      <c r="D287" s="2" t="n">
        <v>0.105503</v>
      </c>
      <c r="E287" s="2" t="n">
        <v>0.107862</v>
      </c>
      <c r="G287" s="2" t="n">
        <v>0.09574199999999999</v>
      </c>
      <c r="H287" s="2" t="n">
        <v>0.095059</v>
      </c>
    </row>
    <row r="288">
      <c r="D288" s="2" t="n">
        <v>0.114111</v>
      </c>
      <c r="E288" s="2" t="n">
        <v>0.112278</v>
      </c>
      <c r="G288" s="2" t="n">
        <v>0.103841</v>
      </c>
      <c r="H288" s="2" t="n">
        <v>0.101339</v>
      </c>
    </row>
    <row r="289">
      <c r="D289" s="2" t="n">
        <v>0.09872</v>
      </c>
      <c r="E289" s="2" t="n">
        <v>0.09633899999999999</v>
      </c>
      <c r="G289" s="2" t="n">
        <v>0.097289</v>
      </c>
      <c r="H289" s="2" t="n">
        <v>0.096132</v>
      </c>
    </row>
    <row r="290">
      <c r="D290" s="2" t="n">
        <v>0.110624</v>
      </c>
      <c r="E290" s="2" t="n">
        <v>0.109514</v>
      </c>
      <c r="G290" s="2" t="n">
        <v>0.104011</v>
      </c>
      <c r="H290" s="2" t="n">
        <v>0.102916</v>
      </c>
    </row>
    <row r="291">
      <c r="D291" s="2" t="n">
        <v>0.103195</v>
      </c>
      <c r="E291" s="2" t="n">
        <v>0.100034</v>
      </c>
      <c r="G291" s="2" t="n">
        <v>0.107471</v>
      </c>
      <c r="H291" s="2" t="n">
        <v>0.106875</v>
      </c>
    </row>
    <row r="292">
      <c r="D292" s="2" t="n">
        <v>0.112444</v>
      </c>
      <c r="E292" s="2" t="n">
        <v>0.109727</v>
      </c>
      <c r="G292" s="2" t="n">
        <v>0.095974</v>
      </c>
      <c r="H292" s="2" t="n">
        <v>0.097107</v>
      </c>
    </row>
    <row r="293">
      <c r="D293" s="2" t="n">
        <v>0.09608</v>
      </c>
      <c r="E293" s="2" t="n">
        <v>0.093362</v>
      </c>
      <c r="G293" s="2" t="n">
        <v>0.104232</v>
      </c>
      <c r="H293" s="2" t="n">
        <v>0.102403</v>
      </c>
    </row>
    <row r="294">
      <c r="D294" s="2" t="n">
        <v>0.103317</v>
      </c>
      <c r="E294" s="2" t="n">
        <v>0.101465</v>
      </c>
      <c r="G294" s="2" t="n">
        <v>0.09103899999999999</v>
      </c>
      <c r="H294" s="2" t="n">
        <v>0.088306</v>
      </c>
    </row>
    <row r="295">
      <c r="D295" s="2" t="n">
        <v>0.101563</v>
      </c>
      <c r="E295" s="2" t="n">
        <v>0.101102</v>
      </c>
      <c r="G295" s="2" t="n">
        <v>0.099699</v>
      </c>
      <c r="H295" s="2" t="n">
        <v>0.09704400000000001</v>
      </c>
    </row>
    <row r="296">
      <c r="D296" s="2" t="n">
        <v>0.098374</v>
      </c>
      <c r="E296" s="2" t="n">
        <v>0.09787999999999999</v>
      </c>
      <c r="G296" s="2" t="n">
        <v>0.105997</v>
      </c>
      <c r="H296" s="2" t="n">
        <v>0.102355</v>
      </c>
    </row>
    <row r="297">
      <c r="D297" s="2" t="n">
        <v>0.101266</v>
      </c>
      <c r="E297" s="2" t="n">
        <v>0.099104</v>
      </c>
      <c r="G297" s="2" t="n">
        <v>0.105607</v>
      </c>
      <c r="H297" s="2" t="n">
        <v>0.103694</v>
      </c>
    </row>
    <row r="298">
      <c r="D298" s="2" t="n">
        <v>0.132743</v>
      </c>
      <c r="E298" s="2" t="n">
        <v>0.130475</v>
      </c>
      <c r="G298" s="2" t="n">
        <v>0.09697500000000001</v>
      </c>
      <c r="H298" s="2" t="n">
        <v>0.095101</v>
      </c>
    </row>
    <row r="299">
      <c r="D299" s="2" t="n">
        <v>0.113112</v>
      </c>
      <c r="E299" s="2" t="n">
        <v>0.111161</v>
      </c>
      <c r="G299" s="2" t="n">
        <v>0.109889</v>
      </c>
      <c r="H299" s="2" t="n">
        <v>0.10926</v>
      </c>
    </row>
    <row r="300">
      <c r="D300" s="2" t="n">
        <v>0.105106</v>
      </c>
      <c r="E300" s="2" t="n">
        <v>0.104365</v>
      </c>
      <c r="G300" s="2" t="n">
        <v>0.09668300000000001</v>
      </c>
      <c r="H300" s="2" t="n">
        <v>0.09529700000000001</v>
      </c>
    </row>
    <row r="301">
      <c r="D301" s="2" t="n">
        <v>0.109315</v>
      </c>
      <c r="E301" s="2" t="n">
        <v>0.10461</v>
      </c>
      <c r="G301" s="2" t="n">
        <v>0.093651</v>
      </c>
      <c r="H301" s="2" t="n">
        <v>0.092062</v>
      </c>
    </row>
    <row r="302">
      <c r="D302" s="2" t="n">
        <v>0.096828</v>
      </c>
      <c r="E302" s="2" t="n">
        <v>0.09504600000000001</v>
      </c>
      <c r="G302" s="2" t="n">
        <v>0.09975000000000001</v>
      </c>
      <c r="H302" s="2" t="n">
        <v>0.098151</v>
      </c>
    </row>
    <row r="303">
      <c r="D303" s="2" t="n">
        <v>0.107042</v>
      </c>
      <c r="E303" s="2" t="n">
        <v>0.103209</v>
      </c>
      <c r="G303" s="2" t="n">
        <v>0.093832</v>
      </c>
      <c r="H303" s="2" t="n">
        <v>0.091999</v>
      </c>
    </row>
    <row r="304">
      <c r="D304" s="2" t="n">
        <v>0.09547600000000001</v>
      </c>
      <c r="E304" s="2" t="n">
        <v>0.093884</v>
      </c>
      <c r="G304" s="2" t="n">
        <v>0.101298</v>
      </c>
      <c r="H304" s="2" t="n">
        <v>0.100028</v>
      </c>
    </row>
    <row r="305">
      <c r="D305" s="2" t="n">
        <v>0.099482</v>
      </c>
      <c r="E305" s="2" t="n">
        <v>0.097035</v>
      </c>
      <c r="G305" s="2" t="n">
        <v>0.09067799999999999</v>
      </c>
      <c r="H305" s="2" t="n">
        <v>0.090591</v>
      </c>
    </row>
    <row r="306">
      <c r="D306" s="2" t="n">
        <v>0.102294</v>
      </c>
      <c r="E306" s="2" t="n">
        <v>0.100502</v>
      </c>
      <c r="G306" s="2" t="n">
        <v>0.095483</v>
      </c>
      <c r="H306" s="2" t="n">
        <v>0.092852</v>
      </c>
    </row>
    <row r="307">
      <c r="D307" s="2" t="n">
        <v>0.105152</v>
      </c>
      <c r="E307" s="2" t="n">
        <v>0.101897</v>
      </c>
      <c r="G307" s="2" t="n">
        <v>0.099497</v>
      </c>
      <c r="H307" s="2" t="n">
        <v>0.09573</v>
      </c>
    </row>
    <row r="308">
      <c r="D308" s="2" t="n">
        <v>0.110701</v>
      </c>
      <c r="E308" s="2" t="n">
        <v>0.110545</v>
      </c>
      <c r="G308" s="2" t="n">
        <v>0.093184</v>
      </c>
      <c r="H308" s="2" t="n">
        <v>0.094475</v>
      </c>
    </row>
    <row r="309">
      <c r="D309" s="2" t="n">
        <v>0.09272900000000001</v>
      </c>
      <c r="E309" s="2" t="n">
        <v>0.090624</v>
      </c>
      <c r="G309" s="2" t="n">
        <v>0.097147</v>
      </c>
      <c r="H309" s="2" t="n">
        <v>0.09566</v>
      </c>
    </row>
    <row r="310">
      <c r="D310" s="2" t="n">
        <v>0.102242</v>
      </c>
      <c r="E310" s="2" t="n">
        <v>0.099714</v>
      </c>
      <c r="G310" s="2" t="n">
        <v>0.098288</v>
      </c>
      <c r="H310" s="2" t="n">
        <v>0.097751</v>
      </c>
    </row>
    <row r="311">
      <c r="D311" s="2" t="n">
        <v>0.095842</v>
      </c>
      <c r="E311" s="2" t="n">
        <v>0.094431</v>
      </c>
      <c r="G311" s="2" t="n">
        <v>0.111322</v>
      </c>
      <c r="H311" s="2" t="n">
        <v>0.109921</v>
      </c>
    </row>
    <row r="312">
      <c r="D312" s="2" t="n">
        <v>0.09332699999999999</v>
      </c>
      <c r="E312" s="2" t="n">
        <v>0.091069</v>
      </c>
      <c r="G312" s="2" t="n">
        <v>0.10634</v>
      </c>
      <c r="H312" s="2" t="n">
        <v>0.10284</v>
      </c>
    </row>
    <row r="313">
      <c r="D313" s="2" t="n">
        <v>0.098561</v>
      </c>
      <c r="E313" s="2" t="n">
        <v>0.09640899999999999</v>
      </c>
      <c r="G313" s="2" t="n">
        <v>0.117613</v>
      </c>
      <c r="H313" s="2" t="n">
        <v>0.113528</v>
      </c>
    </row>
    <row r="314">
      <c r="D314" s="2" t="n">
        <v>0.105613</v>
      </c>
      <c r="E314" s="2" t="n">
        <v>0.104368</v>
      </c>
      <c r="G314" s="2" t="n">
        <v>0.09624199999999999</v>
      </c>
      <c r="H314" s="2" t="n">
        <v>0.096025</v>
      </c>
    </row>
    <row r="315">
      <c r="D315" s="2" t="n">
        <v>0.098902</v>
      </c>
      <c r="E315" s="2" t="n">
        <v>0.09604699999999999</v>
      </c>
      <c r="G315" s="2" t="n">
        <v>0.11416</v>
      </c>
      <c r="H315" s="2" t="n">
        <v>0.113564</v>
      </c>
    </row>
    <row r="316">
      <c r="D316" s="2" t="n">
        <v>0.091893</v>
      </c>
      <c r="E316" s="2" t="n">
        <v>0.08956500000000001</v>
      </c>
      <c r="G316" s="2" t="n">
        <v>0.115183</v>
      </c>
      <c r="H316" s="2" t="n">
        <v>0.113601</v>
      </c>
    </row>
    <row r="317">
      <c r="D317" s="2" t="n">
        <v>0.116478</v>
      </c>
      <c r="E317" s="2" t="n">
        <v>0.114714</v>
      </c>
      <c r="G317" s="2" t="n">
        <v>0.089702</v>
      </c>
      <c r="H317" s="2" t="n">
        <v>0.086575</v>
      </c>
    </row>
    <row r="318">
      <c r="D318" s="2" t="n">
        <v>0.099782</v>
      </c>
      <c r="E318" s="2" t="n">
        <v>0.097653</v>
      </c>
      <c r="G318" s="2" t="n">
        <v>0.104474</v>
      </c>
      <c r="H318" s="2" t="n">
        <v>0.102201</v>
      </c>
    </row>
    <row r="319">
      <c r="D319" s="2" t="n">
        <v>0.095814</v>
      </c>
      <c r="E319" s="2" t="n">
        <v>0.093622</v>
      </c>
      <c r="G319" s="2" t="n">
        <v>0.097107</v>
      </c>
      <c r="H319" s="2" t="n">
        <v>0.09460300000000001</v>
      </c>
    </row>
    <row r="320">
      <c r="D320" s="2" t="n">
        <v>0.097955</v>
      </c>
      <c r="E320" s="2" t="n">
        <v>0.094763</v>
      </c>
      <c r="G320" s="2" t="n">
        <v>0.095572</v>
      </c>
      <c r="H320" s="2" t="n">
        <v>0.094044</v>
      </c>
    </row>
    <row r="321">
      <c r="D321" s="2" t="n">
        <v>0.10174</v>
      </c>
      <c r="E321" s="2" t="n">
        <v>0.099923</v>
      </c>
      <c r="G321" s="2" t="n">
        <v>0.099124</v>
      </c>
      <c r="H321" s="2" t="n">
        <v>0.096271</v>
      </c>
    </row>
    <row r="322">
      <c r="D322" s="2" t="n">
        <v>0.091781</v>
      </c>
      <c r="E322" s="2" t="n">
        <v>0.089032</v>
      </c>
      <c r="G322" s="2" t="n">
        <v>0.094944</v>
      </c>
      <c r="H322" s="2" t="n">
        <v>0.091498</v>
      </c>
    </row>
    <row r="323">
      <c r="D323" s="2" t="n">
        <v>0.093184</v>
      </c>
      <c r="E323" s="2" t="n">
        <v>0.09017500000000001</v>
      </c>
      <c r="G323" s="2" t="n">
        <v>0.095792</v>
      </c>
      <c r="H323" s="2" t="n">
        <v>0.092388</v>
      </c>
    </row>
    <row r="324">
      <c r="D324" s="2" t="n">
        <v>0.09657200000000001</v>
      </c>
      <c r="E324" s="2" t="n">
        <v>0.09543600000000001</v>
      </c>
      <c r="G324" s="2" t="n">
        <v>0.093039</v>
      </c>
      <c r="H324" s="2" t="n">
        <v>0.091751</v>
      </c>
    </row>
    <row r="325">
      <c r="D325" s="2" t="n">
        <v>0.09748900000000001</v>
      </c>
      <c r="E325" s="2" t="n">
        <v>0.096355</v>
      </c>
      <c r="G325" s="2" t="n">
        <v>0.106296</v>
      </c>
      <c r="H325" s="2" t="n">
        <v>0.103529</v>
      </c>
    </row>
    <row r="326">
      <c r="D326" s="2" t="n">
        <v>0.098549</v>
      </c>
      <c r="E326" s="2" t="n">
        <v>0.09665799999999999</v>
      </c>
      <c r="G326" s="2" t="n">
        <v>0.09213200000000001</v>
      </c>
      <c r="H326" s="2" t="n">
        <v>0.091893</v>
      </c>
    </row>
    <row r="327">
      <c r="D327" s="2" t="n">
        <v>0.091837</v>
      </c>
      <c r="E327" s="2" t="n">
        <v>0.088493</v>
      </c>
      <c r="G327" s="2" t="n">
        <v>0.090284</v>
      </c>
      <c r="H327" s="2" t="n">
        <v>0.088709</v>
      </c>
    </row>
    <row r="328">
      <c r="D328" s="2" t="n">
        <v>0.09243700000000001</v>
      </c>
      <c r="E328" s="2" t="n">
        <v>0.090373</v>
      </c>
      <c r="G328" s="2" t="n">
        <v>0.10045</v>
      </c>
      <c r="H328" s="2" t="n">
        <v>0.09925</v>
      </c>
    </row>
    <row r="329">
      <c r="D329" s="2" t="n">
        <v>0.1071</v>
      </c>
      <c r="E329" s="2" t="n">
        <v>0.105626</v>
      </c>
      <c r="G329" s="2" t="n">
        <v>0.09676</v>
      </c>
      <c r="H329" s="2" t="n">
        <v>0.093012</v>
      </c>
    </row>
    <row r="330">
      <c r="D330" s="2" t="n">
        <v>0.102734</v>
      </c>
      <c r="E330" s="2" t="n">
        <v>0.102046</v>
      </c>
      <c r="G330" s="2" t="n">
        <v>0.094707</v>
      </c>
      <c r="H330" s="2" t="n">
        <v>0.094609</v>
      </c>
    </row>
    <row r="331">
      <c r="D331" s="2" t="n">
        <v>0.093278</v>
      </c>
      <c r="E331" s="2" t="n">
        <v>0.08920500000000001</v>
      </c>
      <c r="G331" s="2" t="n">
        <v>0.092237</v>
      </c>
      <c r="H331" s="2" t="n">
        <v>0.090167</v>
      </c>
    </row>
    <row r="332">
      <c r="D332" s="2" t="n">
        <v>0.09317400000000001</v>
      </c>
      <c r="E332" s="2" t="n">
        <v>0.094163</v>
      </c>
      <c r="G332" s="2" t="n">
        <v>0.091293</v>
      </c>
      <c r="H332" s="2" t="n">
        <v>0.09052300000000001</v>
      </c>
    </row>
    <row r="333">
      <c r="D333" s="2" t="n">
        <v>0.109016</v>
      </c>
      <c r="E333" s="2" t="n">
        <v>0.107194</v>
      </c>
      <c r="G333" s="2" t="n">
        <v>0.100731</v>
      </c>
      <c r="H333" s="2" t="n">
        <v>0.09965599999999999</v>
      </c>
    </row>
    <row r="334">
      <c r="D334" s="2" t="n">
        <v>0.09861300000000001</v>
      </c>
      <c r="E334" s="2" t="n">
        <v>0.096108</v>
      </c>
      <c r="G334" s="2" t="n">
        <v>0.095212</v>
      </c>
      <c r="H334" s="2" t="n">
        <v>0.091456</v>
      </c>
    </row>
    <row r="335">
      <c r="D335" s="2" t="n">
        <v>0.096701</v>
      </c>
      <c r="E335" s="2" t="n">
        <v>0.094661</v>
      </c>
      <c r="G335" s="2" t="n">
        <v>0.101063</v>
      </c>
      <c r="H335" s="2" t="n">
        <v>0.09858</v>
      </c>
    </row>
    <row r="336">
      <c r="D336" s="2" t="n">
        <v>0.101737</v>
      </c>
      <c r="E336" s="2" t="n">
        <v>0.100064</v>
      </c>
      <c r="G336" s="2" t="n">
        <v>0.090403</v>
      </c>
      <c r="H336" s="2" t="n">
        <v>0.089882</v>
      </c>
    </row>
    <row r="337">
      <c r="D337" s="2" t="n">
        <v>0.09321400000000001</v>
      </c>
      <c r="E337" s="2" t="n">
        <v>0.090929</v>
      </c>
      <c r="G337" s="2" t="n">
        <v>0.09023399999999999</v>
      </c>
      <c r="H337" s="2" t="n">
        <v>0.08923200000000001</v>
      </c>
    </row>
    <row r="338">
      <c r="D338" s="2" t="n">
        <v>0.108724</v>
      </c>
      <c r="E338" s="2" t="n">
        <v>0.106923</v>
      </c>
      <c r="G338" s="2" t="n">
        <v>0.08841</v>
      </c>
      <c r="H338" s="2" t="n">
        <v>0.085976</v>
      </c>
    </row>
    <row r="339">
      <c r="D339" s="2" t="n">
        <v>0.104994</v>
      </c>
      <c r="E339" s="2" t="n">
        <v>0.103401</v>
      </c>
      <c r="G339" s="2" t="n">
        <v>0.100002</v>
      </c>
      <c r="H339" s="2" t="n">
        <v>0.096271</v>
      </c>
    </row>
    <row r="340">
      <c r="D340" s="2" t="n">
        <v>0.09211999999999999</v>
      </c>
      <c r="E340" s="2" t="n">
        <v>0.089822</v>
      </c>
      <c r="G340" s="2" t="n">
        <v>0.089911</v>
      </c>
      <c r="H340" s="2" t="n">
        <v>0.08722299999999999</v>
      </c>
    </row>
    <row r="341">
      <c r="D341" s="2" t="n">
        <v>0.09607499999999999</v>
      </c>
      <c r="E341" s="2" t="n">
        <v>0.093864</v>
      </c>
      <c r="G341" s="2" t="n">
        <v>0.09067799999999999</v>
      </c>
      <c r="H341" s="2" t="n">
        <v>0.087392</v>
      </c>
    </row>
    <row r="342">
      <c r="D342" s="2" t="n">
        <v>0.100528</v>
      </c>
      <c r="E342" s="2" t="n">
        <v>0.098589</v>
      </c>
      <c r="G342" s="2" t="n">
        <v>0.094278</v>
      </c>
      <c r="H342" s="2" t="n">
        <v>0.09209299999999999</v>
      </c>
    </row>
    <row r="343">
      <c r="D343" s="2" t="n">
        <v>0.09096700000000001</v>
      </c>
      <c r="E343" s="2" t="n">
        <v>0.088981</v>
      </c>
      <c r="G343" s="2" t="n">
        <v>0.093519</v>
      </c>
      <c r="H343" s="2" t="n">
        <v>0.091728</v>
      </c>
    </row>
    <row r="344">
      <c r="D344" s="2" t="n">
        <v>0.093432</v>
      </c>
      <c r="E344" s="2" t="n">
        <v>0.09200899999999999</v>
      </c>
      <c r="G344" s="2" t="n">
        <v>0.103705</v>
      </c>
      <c r="H344" s="2" t="n">
        <v>0.102026</v>
      </c>
    </row>
    <row r="345">
      <c r="D345" s="2" t="n">
        <v>0.08894299999999999</v>
      </c>
      <c r="E345" s="2" t="n">
        <v>0.08688700000000001</v>
      </c>
      <c r="G345" s="2" t="n">
        <v>0.091625</v>
      </c>
      <c r="H345" s="2" t="n">
        <v>0.08944299999999999</v>
      </c>
    </row>
    <row r="346">
      <c r="D346" s="2" t="n">
        <v>0.100027</v>
      </c>
      <c r="E346" s="2" t="n">
        <v>0.09843499999999999</v>
      </c>
      <c r="G346" s="2" t="n">
        <v>0.109121</v>
      </c>
      <c r="H346" s="2" t="n">
        <v>0.107462</v>
      </c>
    </row>
    <row r="347">
      <c r="D347" s="2" t="n">
        <v>0.099202</v>
      </c>
      <c r="E347" s="2" t="n">
        <v>0.096636</v>
      </c>
      <c r="G347" s="2" t="n">
        <v>0.09515700000000001</v>
      </c>
      <c r="H347" s="2" t="n">
        <v>0.09300600000000001</v>
      </c>
    </row>
    <row r="348">
      <c r="D348" s="2" t="n">
        <v>0.090366</v>
      </c>
      <c r="E348" s="2" t="n">
        <v>0.08855300000000001</v>
      </c>
      <c r="G348" s="2" t="n">
        <v>0.098886</v>
      </c>
      <c r="H348" s="2" t="n">
        <v>0.096097</v>
      </c>
    </row>
    <row r="349">
      <c r="D349" s="2" t="n">
        <v>0.09357600000000001</v>
      </c>
      <c r="E349" s="2" t="n">
        <v>0.09164899999999999</v>
      </c>
      <c r="G349" s="2" t="n">
        <v>0.090165</v>
      </c>
      <c r="H349" s="2" t="n">
        <v>0.090188</v>
      </c>
    </row>
    <row r="350">
      <c r="D350" s="2" t="n">
        <v>0.091206</v>
      </c>
      <c r="E350" s="2" t="n">
        <v>0.08885999999999999</v>
      </c>
      <c r="G350" s="2" t="n">
        <v>0.09289600000000001</v>
      </c>
      <c r="H350" s="2" t="n">
        <v>0.090754</v>
      </c>
    </row>
    <row r="351">
      <c r="D351" s="2" t="n">
        <v>0.097563</v>
      </c>
      <c r="E351" s="2" t="n">
        <v>0.09661599999999999</v>
      </c>
      <c r="G351" s="2" t="n">
        <v>0.09526900000000001</v>
      </c>
      <c r="H351" s="2" t="n">
        <v>0.093323</v>
      </c>
    </row>
    <row r="352">
      <c r="D352" s="2" t="n">
        <v>0.092073</v>
      </c>
      <c r="E352" s="2" t="n">
        <v>0.089833</v>
      </c>
      <c r="G352" s="2" t="n">
        <v>0.09016200000000001</v>
      </c>
      <c r="H352" s="2" t="n">
        <v>0.088922</v>
      </c>
    </row>
    <row r="353">
      <c r="D353" s="2" t="n">
        <v>0.096524</v>
      </c>
      <c r="E353" s="2" t="n">
        <v>0.09352199999999999</v>
      </c>
      <c r="G353" s="2" t="n">
        <v>0.095084</v>
      </c>
      <c r="H353" s="2" t="n">
        <v>0.094427</v>
      </c>
    </row>
    <row r="354">
      <c r="D354" s="2" t="n">
        <v>0.11311</v>
      </c>
      <c r="E354" s="2" t="n">
        <v>0.111239</v>
      </c>
      <c r="G354" s="2" t="n">
        <v>0.089725</v>
      </c>
      <c r="H354" s="2" t="n">
        <v>0.08716</v>
      </c>
    </row>
    <row r="355">
      <c r="D355" s="2" t="n">
        <v>0.106289</v>
      </c>
      <c r="E355" s="2" t="n">
        <v>0.103065</v>
      </c>
      <c r="G355" s="2" t="n">
        <v>0.090117</v>
      </c>
      <c r="H355" s="2" t="n">
        <v>0.087699</v>
      </c>
    </row>
    <row r="356">
      <c r="D356" s="2" t="n">
        <v>0.093458</v>
      </c>
      <c r="E356" s="2" t="n">
        <v>0.09131</v>
      </c>
      <c r="G356" s="2" t="n">
        <v>0.092505</v>
      </c>
      <c r="H356" s="2" t="n">
        <v>0.089932</v>
      </c>
    </row>
    <row r="357">
      <c r="D357" s="2" t="n">
        <v>0.097535</v>
      </c>
      <c r="E357" s="2" t="n">
        <v>0.09489300000000001</v>
      </c>
      <c r="G357" s="2" t="n">
        <v>0.09969699999999999</v>
      </c>
      <c r="H357" s="2" t="n">
        <v>0.097626</v>
      </c>
    </row>
    <row r="358">
      <c r="D358" s="2" t="n">
        <v>0.110029</v>
      </c>
      <c r="E358" s="2" t="n">
        <v>0.108805</v>
      </c>
      <c r="G358" s="2" t="n">
        <v>0.090118</v>
      </c>
      <c r="H358" s="2" t="n">
        <v>0.08677700000000001</v>
      </c>
    </row>
    <row r="359">
      <c r="D359" s="2" t="n">
        <v>0.102201</v>
      </c>
      <c r="E359" s="2" t="n">
        <v>0.100723</v>
      </c>
      <c r="G359" s="2" t="n">
        <v>0.093477</v>
      </c>
      <c r="H359" s="2" t="n">
        <v>0.091354</v>
      </c>
    </row>
    <row r="360">
      <c r="D360" s="2" t="n">
        <v>0.092032</v>
      </c>
      <c r="E360" s="2" t="n">
        <v>0.091858</v>
      </c>
      <c r="G360" s="2" t="n">
        <v>0.08884400000000001</v>
      </c>
      <c r="H360" s="2" t="n">
        <v>0.087671</v>
      </c>
    </row>
    <row r="361">
      <c r="D361" s="2" t="n">
        <v>0.095133</v>
      </c>
      <c r="E361" s="2" t="n">
        <v>0.093226</v>
      </c>
      <c r="G361" s="2" t="n">
        <v>0.087979</v>
      </c>
      <c r="H361" s="2" t="n">
        <v>0.08506</v>
      </c>
    </row>
    <row r="362">
      <c r="D362" s="2" t="n">
        <v>0.09833699999999999</v>
      </c>
      <c r="E362" s="2" t="n">
        <v>0.096706</v>
      </c>
      <c r="G362" s="2" t="n">
        <v>0.13163</v>
      </c>
      <c r="H362" s="2" t="n">
        <v>0.126873</v>
      </c>
    </row>
    <row r="363">
      <c r="D363" s="2" t="n">
        <v>0.097612</v>
      </c>
      <c r="E363" s="2" t="n">
        <v>0.096736</v>
      </c>
      <c r="G363" s="2" t="n">
        <v>0.090723</v>
      </c>
      <c r="H363" s="2" t="n">
        <v>0.08860700000000001</v>
      </c>
    </row>
    <row r="364">
      <c r="D364" s="2" t="n">
        <v>0.09214</v>
      </c>
      <c r="E364" s="2" t="n">
        <v>0.09078700000000001</v>
      </c>
      <c r="G364" s="2" t="n">
        <v>0.086739</v>
      </c>
      <c r="H364" s="2" t="n">
        <v>0.084554</v>
      </c>
    </row>
    <row r="365">
      <c r="D365" s="2" t="n">
        <v>0.095403</v>
      </c>
      <c r="E365" s="2" t="n">
        <v>0.091084</v>
      </c>
      <c r="G365" s="2" t="n">
        <v>0.098658</v>
      </c>
      <c r="H365" s="2" t="n">
        <v>0.096178</v>
      </c>
    </row>
    <row r="366">
      <c r="D366" s="2" t="n">
        <v>0.093274</v>
      </c>
      <c r="E366" s="2" t="n">
        <v>0.091937</v>
      </c>
      <c r="G366" s="2" t="n">
        <v>0.08745799999999999</v>
      </c>
      <c r="H366" s="2" t="n">
        <v>0.08602600000000001</v>
      </c>
    </row>
    <row r="367">
      <c r="D367" s="2" t="n">
        <v>0.104085</v>
      </c>
      <c r="E367" s="2" t="n">
        <v>0.101374</v>
      </c>
      <c r="G367" s="2" t="n">
        <v>0.09808799999999999</v>
      </c>
      <c r="H367" s="2" t="n">
        <v>0.096793</v>
      </c>
    </row>
    <row r="368">
      <c r="D368" s="2" t="n">
        <v>0.09143999999999999</v>
      </c>
      <c r="E368" s="2" t="n">
        <v>0.088542</v>
      </c>
      <c r="G368" s="2" t="n">
        <v>0.1039</v>
      </c>
      <c r="H368" s="2" t="n">
        <v>0.101347</v>
      </c>
    </row>
    <row r="369">
      <c r="D369" s="2" t="n">
        <v>0.09009300000000001</v>
      </c>
      <c r="E369" s="2" t="n">
        <v>0.087532</v>
      </c>
      <c r="G369" s="2" t="n">
        <v>0.085811</v>
      </c>
      <c r="H369" s="2" t="n">
        <v>0.082328</v>
      </c>
    </row>
    <row r="370">
      <c r="D370" s="2" t="n">
        <v>0.090771</v>
      </c>
      <c r="E370" s="2" t="n">
        <v>0.089184</v>
      </c>
      <c r="G370" s="2" t="n">
        <v>0.099242</v>
      </c>
      <c r="H370" s="2" t="n">
        <v>0.09536500000000001</v>
      </c>
    </row>
    <row r="371">
      <c r="D371" s="2" t="n">
        <v>0.09742099999999999</v>
      </c>
      <c r="E371" s="2" t="n">
        <v>0.095025</v>
      </c>
      <c r="G371" s="2" t="n">
        <v>0.09303400000000001</v>
      </c>
      <c r="H371" s="2" t="n">
        <v>0.090535</v>
      </c>
    </row>
    <row r="372">
      <c r="D372" s="2" t="n">
        <v>0.088448</v>
      </c>
      <c r="E372" s="2" t="n">
        <v>0.086051</v>
      </c>
      <c r="G372" s="2" t="n">
        <v>0.100361</v>
      </c>
      <c r="H372" s="2" t="n">
        <v>0.097361</v>
      </c>
    </row>
    <row r="373">
      <c r="D373" s="2" t="n">
        <v>0.091672</v>
      </c>
      <c r="E373" s="2" t="n">
        <v>0.08923300000000001</v>
      </c>
      <c r="G373" s="2" t="n">
        <v>0.092559</v>
      </c>
      <c r="H373" s="2" t="n">
        <v>0.089866</v>
      </c>
    </row>
    <row r="374">
      <c r="D374" s="2" t="n">
        <v>0.08867899999999999</v>
      </c>
      <c r="E374" s="2" t="n">
        <v>0.086628</v>
      </c>
      <c r="G374" s="2" t="n">
        <v>0.08863799999999999</v>
      </c>
      <c r="H374" s="2" t="n">
        <v>0.085381</v>
      </c>
    </row>
    <row r="375">
      <c r="D375" s="2" t="n">
        <v>0.095982</v>
      </c>
      <c r="E375" s="2" t="n">
        <v>0.09364699999999999</v>
      </c>
      <c r="G375" s="2" t="n">
        <v>0.09547899999999999</v>
      </c>
      <c r="H375" s="2" t="n">
        <v>0.092386</v>
      </c>
    </row>
    <row r="376">
      <c r="D376" s="2" t="n">
        <v>0.101073</v>
      </c>
      <c r="E376" s="2" t="n">
        <v>0.09866900000000001</v>
      </c>
      <c r="G376" s="2" t="n">
        <v>0.103459</v>
      </c>
      <c r="H376" s="2" t="n">
        <v>0.103864</v>
      </c>
    </row>
    <row r="377">
      <c r="D377" s="2" t="n">
        <v>0.087738</v>
      </c>
      <c r="E377" s="2" t="n">
        <v>0.08573</v>
      </c>
      <c r="G377" s="2" t="n">
        <v>0.109539</v>
      </c>
      <c r="H377" s="2" t="n">
        <v>0.106486</v>
      </c>
    </row>
    <row r="378">
      <c r="D378" s="2" t="n">
        <v>0.095472</v>
      </c>
      <c r="E378" s="2" t="n">
        <v>0.09153</v>
      </c>
      <c r="G378" s="2" t="n">
        <v>0.09911300000000001</v>
      </c>
      <c r="H378" s="2" t="n">
        <v>0.09672699999999999</v>
      </c>
    </row>
    <row r="379">
      <c r="D379" s="2" t="n">
        <v>0.098998</v>
      </c>
      <c r="E379" s="2" t="n">
        <v>0.09818399999999999</v>
      </c>
      <c r="G379" s="2" t="n">
        <v>0.08658299999999999</v>
      </c>
      <c r="H379" s="2" t="n">
        <v>0.08438900000000001</v>
      </c>
    </row>
    <row r="380">
      <c r="D380" s="2" t="n">
        <v>0.088523</v>
      </c>
      <c r="E380" s="2" t="n">
        <v>0.086425</v>
      </c>
      <c r="G380" s="2" t="n">
        <v>0.092555</v>
      </c>
      <c r="H380" s="2" t="n">
        <v>0.090059</v>
      </c>
    </row>
    <row r="381">
      <c r="D381" s="2" t="n">
        <v>0.087881</v>
      </c>
      <c r="E381" s="2" t="n">
        <v>0.085824</v>
      </c>
      <c r="G381" s="2" t="n">
        <v>0.092262</v>
      </c>
      <c r="H381" s="2" t="n">
        <v>0.08946900000000001</v>
      </c>
    </row>
    <row r="382">
      <c r="D382" s="2" t="n">
        <v>0.108562</v>
      </c>
      <c r="E382" s="2" t="n">
        <v>0.106681</v>
      </c>
      <c r="G382" s="2" t="n">
        <v>0.087711</v>
      </c>
      <c r="H382" s="2" t="n">
        <v>0.085936</v>
      </c>
    </row>
    <row r="383">
      <c r="D383" s="2" t="n">
        <v>0.088757</v>
      </c>
      <c r="E383" s="2" t="n">
        <v>0.087034</v>
      </c>
      <c r="G383" s="2" t="n">
        <v>0.098234</v>
      </c>
      <c r="H383" s="2" t="n">
        <v>0.09497</v>
      </c>
    </row>
    <row r="384">
      <c r="D384" s="2" t="n">
        <v>0.098313</v>
      </c>
      <c r="E384" s="2" t="n">
        <v>0.09637800000000001</v>
      </c>
      <c r="G384" s="2" t="n">
        <v>0.0977</v>
      </c>
      <c r="H384" s="2" t="n">
        <v>0.09519900000000001</v>
      </c>
    </row>
    <row r="385">
      <c r="D385" s="2" t="n">
        <v>0.088517</v>
      </c>
      <c r="E385" s="2" t="n">
        <v>0.086494</v>
      </c>
      <c r="G385" s="2" t="n">
        <v>0.091167</v>
      </c>
      <c r="H385" s="2" t="n">
        <v>0.089198</v>
      </c>
    </row>
    <row r="386">
      <c r="D386" s="2" t="n">
        <v>0.101884</v>
      </c>
      <c r="E386" s="2" t="n">
        <v>0.100055</v>
      </c>
      <c r="G386" s="2" t="n">
        <v>0.099965</v>
      </c>
      <c r="H386" s="2" t="n">
        <v>0.097701</v>
      </c>
    </row>
    <row r="387">
      <c r="D387" s="2" t="n">
        <v>0.091141</v>
      </c>
      <c r="E387" s="2" t="n">
        <v>0.08837200000000001</v>
      </c>
      <c r="G387" s="2" t="n">
        <v>0.09628</v>
      </c>
      <c r="H387" s="2" t="n">
        <v>0.094678</v>
      </c>
    </row>
    <row r="388">
      <c r="D388" s="2" t="n">
        <v>0.104109</v>
      </c>
      <c r="E388" s="2" t="n">
        <v>0.103114</v>
      </c>
      <c r="G388" s="2" t="n">
        <v>0.08837299999999999</v>
      </c>
      <c r="H388" s="2" t="n">
        <v>0.08591799999999999</v>
      </c>
    </row>
    <row r="389">
      <c r="D389" s="2" t="n">
        <v>0.109863</v>
      </c>
      <c r="E389" s="2" t="n">
        <v>0.108354</v>
      </c>
      <c r="G389" s="2" t="n">
        <v>0.086775</v>
      </c>
      <c r="H389" s="2" t="n">
        <v>0.08328199999999999</v>
      </c>
    </row>
    <row r="390">
      <c r="D390" s="2" t="n">
        <v>0.085438</v>
      </c>
      <c r="E390" s="2" t="n">
        <v>0.082997</v>
      </c>
      <c r="G390" s="2" t="n">
        <v>0.096362</v>
      </c>
      <c r="H390" s="2" t="n">
        <v>0.093999</v>
      </c>
    </row>
    <row r="391">
      <c r="D391" s="2" t="n">
        <v>0.098926</v>
      </c>
      <c r="E391" s="2" t="n">
        <v>0.095071</v>
      </c>
      <c r="G391" s="2" t="n">
        <v>0.08688700000000001</v>
      </c>
      <c r="H391" s="2" t="n">
        <v>0.084302</v>
      </c>
    </row>
    <row r="392">
      <c r="D392" s="2" t="n">
        <v>0.09103799999999999</v>
      </c>
      <c r="E392" s="2" t="n">
        <v>0.08869199999999999</v>
      </c>
      <c r="G392" s="2" t="n">
        <v>0.090186</v>
      </c>
      <c r="H392" s="2" t="n">
        <v>0.08686099999999999</v>
      </c>
    </row>
    <row r="393">
      <c r="D393" s="2" t="n">
        <v>0.100456</v>
      </c>
      <c r="E393" s="2" t="n">
        <v>0.097458</v>
      </c>
      <c r="G393" s="2" t="n">
        <v>0.09068900000000001</v>
      </c>
      <c r="H393" s="2" t="n">
        <v>0.08849600000000001</v>
      </c>
    </row>
    <row r="394">
      <c r="D394" s="2" t="n">
        <v>0.089194</v>
      </c>
      <c r="E394" s="2" t="n">
        <v>0.086613</v>
      </c>
      <c r="G394" s="2" t="n">
        <v>0.08591</v>
      </c>
      <c r="H394" s="2" t="n">
        <v>0.08419</v>
      </c>
    </row>
    <row r="395">
      <c r="D395" s="2" t="n">
        <v>0.08994000000000001</v>
      </c>
      <c r="E395" s="2" t="n">
        <v>0.087288</v>
      </c>
      <c r="G395" s="2" t="n">
        <v>0.08934</v>
      </c>
      <c r="H395" s="2" t="n">
        <v>0.085689</v>
      </c>
    </row>
    <row r="396">
      <c r="D396" s="2" t="n">
        <v>0.109921</v>
      </c>
      <c r="E396" s="2" t="n">
        <v>0.108163</v>
      </c>
      <c r="G396" s="2" t="n">
        <v>0.102534</v>
      </c>
      <c r="H396" s="2" t="n">
        <v>0.098255</v>
      </c>
    </row>
    <row r="397">
      <c r="D397" s="2" t="n">
        <v>0.092156</v>
      </c>
      <c r="E397" s="2" t="n">
        <v>0.090461</v>
      </c>
      <c r="G397" s="2" t="n">
        <v>0.08492</v>
      </c>
      <c r="H397" s="2" t="n">
        <v>0.08226899999999999</v>
      </c>
    </row>
    <row r="398">
      <c r="D398" s="2" t="n">
        <v>0.093587</v>
      </c>
      <c r="E398" s="2" t="n">
        <v>0.09039800000000001</v>
      </c>
      <c r="G398" s="2" t="n">
        <v>0.093043</v>
      </c>
      <c r="H398" s="2" t="n">
        <v>0.091199</v>
      </c>
    </row>
    <row r="399">
      <c r="D399" s="2" t="n">
        <v>0.089367</v>
      </c>
      <c r="E399" s="2" t="n">
        <v>0.08720600000000001</v>
      </c>
      <c r="G399" s="2" t="n">
        <v>0.088196</v>
      </c>
      <c r="H399" s="2" t="n">
        <v>0.085395</v>
      </c>
    </row>
    <row r="400">
      <c r="D400" s="2" t="n">
        <v>0.09439500000000001</v>
      </c>
      <c r="E400" s="2" t="n">
        <v>0.09446499999999999</v>
      </c>
      <c r="G400" s="2" t="n">
        <v>0.08971999999999999</v>
      </c>
      <c r="H400" s="2" t="n">
        <v>0.086801</v>
      </c>
    </row>
    <row r="401">
      <c r="D401" s="2" t="n">
        <v>0.103104</v>
      </c>
      <c r="E401" s="2" t="n">
        <v>0.101095</v>
      </c>
      <c r="G401" s="2" t="n">
        <v>0.08526599999999999</v>
      </c>
      <c r="H401" s="2" t="n">
        <v>0.081997</v>
      </c>
    </row>
    <row r="402">
      <c r="D402" s="2" t="n">
        <v>0.082769</v>
      </c>
      <c r="E402" s="2" t="n">
        <v>0.081318</v>
      </c>
      <c r="G402" s="2" t="n">
        <v>0.091345</v>
      </c>
      <c r="H402" s="2" t="n">
        <v>0.089115</v>
      </c>
    </row>
    <row r="403">
      <c r="D403" s="2" t="n">
        <v>0.089437</v>
      </c>
      <c r="E403" s="2" t="n">
        <v>0.086905</v>
      </c>
      <c r="G403" s="2" t="n">
        <v>0.122508</v>
      </c>
      <c r="H403" s="2" t="n">
        <v>0.120366</v>
      </c>
    </row>
    <row r="404">
      <c r="D404" s="2" t="n">
        <v>0.096556</v>
      </c>
      <c r="E404" s="2" t="n">
        <v>0.094012</v>
      </c>
      <c r="G404" s="2" t="n">
        <v>0.089075</v>
      </c>
      <c r="H404" s="2" t="n">
        <v>0.085829</v>
      </c>
    </row>
    <row r="405">
      <c r="D405" s="2" t="n">
        <v>0.087051</v>
      </c>
      <c r="E405" s="2" t="n">
        <v>0.086393</v>
      </c>
      <c r="G405" s="2" t="n">
        <v>0.09048100000000001</v>
      </c>
      <c r="H405" s="2" t="n">
        <v>0.088377</v>
      </c>
    </row>
    <row r="406">
      <c r="D406" s="2" t="n">
        <v>0.09117</v>
      </c>
      <c r="E406" s="2" t="n">
        <v>0.090268</v>
      </c>
      <c r="G406" s="2" t="n">
        <v>0.089837</v>
      </c>
      <c r="H406" s="2" t="n">
        <v>0.086476</v>
      </c>
    </row>
    <row r="407">
      <c r="D407" s="2" t="n">
        <v>0.112985</v>
      </c>
      <c r="E407" s="2" t="n">
        <v>0.112008</v>
      </c>
      <c r="G407" s="2" t="n">
        <v>0.08626499999999999</v>
      </c>
      <c r="H407" s="2" t="n">
        <v>0.084499</v>
      </c>
    </row>
    <row r="408">
      <c r="D408" s="2" t="n">
        <v>0.09297</v>
      </c>
      <c r="E408" s="2" t="n">
        <v>0.090879</v>
      </c>
      <c r="G408" s="2" t="n">
        <v>0.090527</v>
      </c>
      <c r="H408" s="2" t="n">
        <v>0.08781700000000001</v>
      </c>
    </row>
    <row r="409">
      <c r="D409" s="2" t="n">
        <v>0.08918</v>
      </c>
      <c r="E409" s="2" t="n">
        <v>0.08697100000000001</v>
      </c>
      <c r="G409" s="2" t="n">
        <v>0.09045599999999999</v>
      </c>
      <c r="H409" s="2" t="n">
        <v>0.089196</v>
      </c>
    </row>
    <row r="410">
      <c r="D410" s="2" t="n">
        <v>0.085572</v>
      </c>
      <c r="E410" s="2" t="n">
        <v>0.08283799999999999</v>
      </c>
      <c r="G410" s="2" t="n">
        <v>0.08852</v>
      </c>
      <c r="H410" s="2" t="n">
        <v>0.085969</v>
      </c>
    </row>
    <row r="411">
      <c r="D411" s="2" t="n">
        <v>0.08741400000000001</v>
      </c>
      <c r="E411" s="2" t="n">
        <v>0.08501400000000001</v>
      </c>
      <c r="G411" s="2" t="n">
        <v>0.088911</v>
      </c>
      <c r="H411" s="2" t="n">
        <v>0.086559</v>
      </c>
    </row>
    <row r="412">
      <c r="D412" s="2" t="n">
        <v>0.09931</v>
      </c>
      <c r="E412" s="2" t="n">
        <v>0.096667</v>
      </c>
      <c r="G412" s="2" t="n">
        <v>0.09252199999999999</v>
      </c>
      <c r="H412" s="2" t="n">
        <v>0.088809</v>
      </c>
    </row>
    <row r="413">
      <c r="D413" s="2" t="n">
        <v>0.089113</v>
      </c>
      <c r="E413" s="2" t="n">
        <v>0.08717999999999999</v>
      </c>
      <c r="G413" s="2" t="n">
        <v>0.08776399999999999</v>
      </c>
      <c r="H413" s="2" t="n">
        <v>0.084646</v>
      </c>
    </row>
    <row r="414">
      <c r="D414" s="2" t="n">
        <v>0.094375</v>
      </c>
      <c r="E414" s="2" t="n">
        <v>0.092212</v>
      </c>
      <c r="G414" s="2" t="n">
        <v>0.08905399999999999</v>
      </c>
      <c r="H414" s="2" t="n">
        <v>0.086327</v>
      </c>
    </row>
    <row r="415">
      <c r="D415" s="2" t="n">
        <v>0.088727</v>
      </c>
      <c r="E415" s="2" t="n">
        <v>0.087326</v>
      </c>
      <c r="G415" s="2" t="n">
        <v>0.085034</v>
      </c>
      <c r="H415" s="2" t="n">
        <v>0.082441</v>
      </c>
    </row>
    <row r="416">
      <c r="D416" s="2" t="n">
        <v>0.08905299999999999</v>
      </c>
      <c r="E416" s="2" t="n">
        <v>0.087188</v>
      </c>
      <c r="G416" s="2" t="n">
        <v>0.08902</v>
      </c>
      <c r="H416" s="2" t="n">
        <v>0.086841</v>
      </c>
    </row>
    <row r="417">
      <c r="D417" s="2" t="n">
        <v>0.091589</v>
      </c>
      <c r="E417" s="2" t="n">
        <v>0.092433</v>
      </c>
      <c r="G417" s="2" t="n">
        <v>0.082354</v>
      </c>
      <c r="H417" s="2" t="n">
        <v>0.082968</v>
      </c>
    </row>
    <row r="418">
      <c r="D418" s="2" t="n">
        <v>0.093185</v>
      </c>
      <c r="E418" s="2" t="n">
        <v>0.090389</v>
      </c>
      <c r="G418" s="2" t="n">
        <v>0.08628</v>
      </c>
      <c r="H418" s="2" t="n">
        <v>0.084401</v>
      </c>
    </row>
    <row r="419">
      <c r="D419" s="2" t="n">
        <v>0.085108</v>
      </c>
      <c r="E419" s="2" t="n">
        <v>0.082646</v>
      </c>
      <c r="G419" s="2" t="n">
        <v>0.090796</v>
      </c>
      <c r="H419" s="2" t="n">
        <v>0.08830499999999999</v>
      </c>
    </row>
    <row r="420">
      <c r="D420" s="2" t="n">
        <v>0.088862</v>
      </c>
      <c r="E420" s="2" t="n">
        <v>0.087687</v>
      </c>
      <c r="G420" s="2" t="n">
        <v>0.091007</v>
      </c>
      <c r="H420" s="2" t="n">
        <v>0.089048</v>
      </c>
    </row>
    <row r="421">
      <c r="D421" s="2" t="n">
        <v>0.082749</v>
      </c>
      <c r="E421" s="2" t="n">
        <v>0.08219600000000001</v>
      </c>
      <c r="G421" s="2" t="n">
        <v>0.087141</v>
      </c>
      <c r="H421" s="2" t="n">
        <v>0.08448799999999999</v>
      </c>
    </row>
    <row r="422">
      <c r="D422" s="2" t="n">
        <v>0.08928899999999999</v>
      </c>
      <c r="E422" s="2" t="n">
        <v>0.086951</v>
      </c>
      <c r="G422" s="2" t="n">
        <v>0.08928899999999999</v>
      </c>
      <c r="H422" s="2" t="n">
        <v>0.088245</v>
      </c>
    </row>
    <row r="423">
      <c r="D423" s="2" t="n">
        <v>0.097598</v>
      </c>
      <c r="E423" s="2" t="n">
        <v>0.094998</v>
      </c>
      <c r="G423" s="2" t="n">
        <v>0.09354999999999999</v>
      </c>
      <c r="H423" s="2" t="n">
        <v>0.091443</v>
      </c>
    </row>
    <row r="424">
      <c r="D424" s="2" t="n">
        <v>0.096132</v>
      </c>
      <c r="E424" s="2" t="n">
        <v>0.09375500000000001</v>
      </c>
      <c r="G424" s="2" t="n">
        <v>0.08420900000000001</v>
      </c>
      <c r="H424" s="2" t="n">
        <v>0.081992</v>
      </c>
    </row>
    <row r="425">
      <c r="D425" s="2" t="n">
        <v>0.093496</v>
      </c>
      <c r="E425" s="2" t="n">
        <v>0.09132700000000001</v>
      </c>
      <c r="G425" s="2" t="n">
        <v>0.087897</v>
      </c>
      <c r="H425" s="2" t="n">
        <v>0.08545700000000001</v>
      </c>
    </row>
    <row r="426">
      <c r="D426" s="2" t="n">
        <v>0.08672100000000001</v>
      </c>
      <c r="E426" s="2" t="n">
        <v>0.084883</v>
      </c>
      <c r="G426" s="2" t="n">
        <v>0.09381100000000001</v>
      </c>
      <c r="H426" s="2" t="n">
        <v>0.091567</v>
      </c>
    </row>
    <row r="427">
      <c r="D427" s="2" t="n">
        <v>0.086203</v>
      </c>
      <c r="E427" s="2" t="n">
        <v>0.082832</v>
      </c>
      <c r="G427" s="2" t="n">
        <v>0.08430600000000001</v>
      </c>
      <c r="H427" s="2" t="n">
        <v>0.082007</v>
      </c>
    </row>
    <row r="428">
      <c r="D428" s="2" t="n">
        <v>0.08964900000000001</v>
      </c>
      <c r="E428" s="2" t="n">
        <v>0.08654199999999999</v>
      </c>
      <c r="G428" s="2" t="n">
        <v>0.086594</v>
      </c>
      <c r="H428" s="2" t="n">
        <v>0.083439</v>
      </c>
    </row>
    <row r="429">
      <c r="D429" s="2" t="n">
        <v>0.09063400000000001</v>
      </c>
      <c r="E429" s="2" t="n">
        <v>0.08889900000000001</v>
      </c>
      <c r="G429" s="2" t="n">
        <v>0.084159</v>
      </c>
      <c r="H429" s="2" t="n">
        <v>0.082159</v>
      </c>
    </row>
    <row r="430">
      <c r="D430" s="2" t="n">
        <v>0.087189</v>
      </c>
      <c r="E430" s="2" t="n">
        <v>0.085007</v>
      </c>
      <c r="G430" s="2" t="n">
        <v>0.084733</v>
      </c>
      <c r="H430" s="2" t="n">
        <v>0.081457</v>
      </c>
    </row>
    <row r="431">
      <c r="D431" s="2" t="n">
        <v>0.086904</v>
      </c>
      <c r="E431" s="2" t="n">
        <v>0.085594</v>
      </c>
      <c r="G431" s="2" t="n">
        <v>0.084083</v>
      </c>
      <c r="H431" s="2" t="n">
        <v>0.080039</v>
      </c>
    </row>
    <row r="432">
      <c r="D432" s="2" t="n">
        <v>0.090284</v>
      </c>
      <c r="E432" s="2" t="n">
        <v>0.087618</v>
      </c>
      <c r="G432" s="2" t="n">
        <v>0.089542</v>
      </c>
      <c r="H432" s="2" t="n">
        <v>0.086177</v>
      </c>
    </row>
    <row r="433">
      <c r="D433" s="2" t="n">
        <v>0.093066</v>
      </c>
      <c r="E433" s="2" t="n">
        <v>0.092697</v>
      </c>
      <c r="G433" s="2" t="n">
        <v>0.089173</v>
      </c>
      <c r="H433" s="2" t="n">
        <v>0.089112</v>
      </c>
    </row>
    <row r="434">
      <c r="D434" s="2" t="n">
        <v>0.083527</v>
      </c>
      <c r="E434" s="2" t="n">
        <v>0.082428</v>
      </c>
      <c r="G434" s="2" t="n">
        <v>0.093376</v>
      </c>
      <c r="H434" s="2" t="n">
        <v>0.09152100000000001</v>
      </c>
    </row>
    <row r="435">
      <c r="D435" s="2" t="n">
        <v>0.084081</v>
      </c>
      <c r="E435" s="2" t="n">
        <v>0.08257</v>
      </c>
      <c r="G435" s="2" t="n">
        <v>0.086852</v>
      </c>
      <c r="H435" s="2" t="n">
        <v>0.084175</v>
      </c>
    </row>
    <row r="436">
      <c r="D436" s="2" t="n">
        <v>0.08595899999999999</v>
      </c>
      <c r="E436" s="2" t="n">
        <v>0.085387</v>
      </c>
      <c r="G436" s="2" t="n">
        <v>0.0832</v>
      </c>
      <c r="H436" s="2" t="n">
        <v>0.080433</v>
      </c>
    </row>
    <row r="437">
      <c r="D437" s="2" t="n">
        <v>0.095279</v>
      </c>
      <c r="E437" s="2" t="n">
        <v>0.09320199999999999</v>
      </c>
      <c r="G437" s="2" t="n">
        <v>0.085104</v>
      </c>
      <c r="H437" s="2" t="n">
        <v>0.082408</v>
      </c>
    </row>
    <row r="438">
      <c r="D438" s="2" t="n">
        <v>0.08375100000000001</v>
      </c>
      <c r="E438" s="2" t="n">
        <v>0.08225499999999999</v>
      </c>
      <c r="G438" s="2" t="n">
        <v>0.09171799999999999</v>
      </c>
      <c r="H438" s="2" t="n">
        <v>0.08906600000000001</v>
      </c>
    </row>
    <row r="439">
      <c r="D439" s="2" t="n">
        <v>0.09407500000000001</v>
      </c>
      <c r="E439" s="2" t="n">
        <v>0.09207</v>
      </c>
      <c r="G439" s="2" t="n">
        <v>0.09454799999999999</v>
      </c>
      <c r="H439" s="2" t="n">
        <v>0.092236</v>
      </c>
    </row>
    <row r="440">
      <c r="D440" s="2" t="n">
        <v>0.085067</v>
      </c>
      <c r="E440" s="2" t="n">
        <v>0.08284999999999999</v>
      </c>
      <c r="G440" s="2" t="n">
        <v>0.082744</v>
      </c>
      <c r="H440" s="2" t="n">
        <v>0.078834</v>
      </c>
    </row>
    <row r="441">
      <c r="D441" s="2" t="n">
        <v>0.08823499999999999</v>
      </c>
      <c r="E441" s="2" t="n">
        <v>0.086141</v>
      </c>
      <c r="G441" s="2" t="n">
        <v>0.08533300000000001</v>
      </c>
      <c r="H441" s="2" t="n">
        <v>0.08315</v>
      </c>
    </row>
    <row r="442">
      <c r="D442" s="2" t="n">
        <v>0.085852</v>
      </c>
      <c r="E442" s="2" t="n">
        <v>0.082568</v>
      </c>
      <c r="G442" s="2" t="n">
        <v>0.079905</v>
      </c>
      <c r="H442" s="2" t="n">
        <v>0.07796400000000001</v>
      </c>
    </row>
    <row r="443">
      <c r="D443" s="2" t="n">
        <v>0.08396099999999999</v>
      </c>
      <c r="E443" s="2" t="n">
        <v>0.08186400000000001</v>
      </c>
      <c r="G443" s="2" t="n">
        <v>0.089701</v>
      </c>
      <c r="H443" s="2" t="n">
        <v>0.08837299999999999</v>
      </c>
    </row>
    <row r="444">
      <c r="D444" s="2" t="n">
        <v>0.08855399999999999</v>
      </c>
      <c r="E444" s="2" t="n">
        <v>0.085523</v>
      </c>
      <c r="G444" s="2" t="n">
        <v>0.086266</v>
      </c>
      <c r="H444" s="2" t="n">
        <v>0.083816</v>
      </c>
    </row>
    <row r="445">
      <c r="D445" s="2" t="n">
        <v>0.083178</v>
      </c>
      <c r="E445" s="2" t="n">
        <v>0.08072500000000001</v>
      </c>
      <c r="G445" s="2" t="n">
        <v>0.083772</v>
      </c>
      <c r="H445" s="2" t="n">
        <v>0.081598</v>
      </c>
    </row>
    <row r="446">
      <c r="D446" s="2" t="n">
        <v>0.108056</v>
      </c>
      <c r="E446" s="2" t="n">
        <v>0.105754</v>
      </c>
      <c r="G446" s="2" t="n">
        <v>0.08483400000000001</v>
      </c>
      <c r="H446" s="2" t="n">
        <v>0.080993</v>
      </c>
    </row>
    <row r="447">
      <c r="D447" s="2" t="n">
        <v>0.085064</v>
      </c>
      <c r="E447" s="2" t="n">
        <v>0.08167000000000001</v>
      </c>
      <c r="G447" s="2" t="n">
        <v>0.08839900000000001</v>
      </c>
      <c r="H447" s="2" t="n">
        <v>0.085578</v>
      </c>
    </row>
    <row r="448">
      <c r="D448" s="2" t="n">
        <v>0.100155</v>
      </c>
      <c r="E448" s="2" t="n">
        <v>0.098306</v>
      </c>
      <c r="G448" s="2" t="n">
        <v>0.08573600000000001</v>
      </c>
      <c r="H448" s="2" t="n">
        <v>0.084464</v>
      </c>
    </row>
    <row r="449">
      <c r="D449" s="2" t="n">
        <v>0.09494900000000001</v>
      </c>
      <c r="E449" s="2" t="n">
        <v>0.093582</v>
      </c>
      <c r="G449" s="2" t="n">
        <v>0.082913</v>
      </c>
      <c r="H449" s="2" t="n">
        <v>0.081386</v>
      </c>
    </row>
    <row r="450">
      <c r="D450" s="2" t="n">
        <v>0.087383</v>
      </c>
      <c r="E450" s="2" t="n">
        <v>0.08558300000000001</v>
      </c>
      <c r="G450" s="2" t="n">
        <v>0.087617</v>
      </c>
      <c r="H450" s="2" t="n">
        <v>0.08454399999999999</v>
      </c>
    </row>
    <row r="451">
      <c r="D451" s="2" t="n">
        <v>0.08480699999999999</v>
      </c>
      <c r="E451" s="2" t="n">
        <v>0.08111500000000001</v>
      </c>
      <c r="G451" s="2" t="n">
        <v>0.08214299999999999</v>
      </c>
      <c r="H451" s="2" t="n">
        <v>0.080177</v>
      </c>
    </row>
    <row r="452">
      <c r="D452" s="2" t="n">
        <v>0.087407</v>
      </c>
      <c r="E452" s="2" t="n">
        <v>0.088611</v>
      </c>
      <c r="G452" s="2" t="n">
        <v>0.08022700000000001</v>
      </c>
      <c r="H452" s="2" t="n">
        <v>0.078388</v>
      </c>
    </row>
    <row r="453">
      <c r="D453" s="2" t="n">
        <v>0.08520800000000001</v>
      </c>
      <c r="E453" s="2" t="n">
        <v>0.082777</v>
      </c>
      <c r="G453" s="2" t="n">
        <v>0.091554</v>
      </c>
      <c r="H453" s="2" t="n">
        <v>0.088558</v>
      </c>
    </row>
    <row r="454">
      <c r="D454" s="2" t="n">
        <v>0.088699</v>
      </c>
      <c r="E454" s="2" t="n">
        <v>0.08756799999999999</v>
      </c>
      <c r="G454" s="2" t="n">
        <v>0.084869</v>
      </c>
      <c r="H454" s="2" t="n">
        <v>0.08422200000000001</v>
      </c>
    </row>
    <row r="455">
      <c r="D455" s="2" t="n">
        <v>0.09991</v>
      </c>
      <c r="E455" s="2" t="n">
        <v>0.098528</v>
      </c>
      <c r="G455" s="2" t="n">
        <v>0.088167</v>
      </c>
      <c r="H455" s="2" t="n">
        <v>0.08566799999999999</v>
      </c>
    </row>
    <row r="456">
      <c r="D456" s="2" t="n">
        <v>0.08310099999999999</v>
      </c>
      <c r="E456" s="2" t="n">
        <v>0.081496</v>
      </c>
      <c r="G456" s="2" t="n">
        <v>0.08348999999999999</v>
      </c>
      <c r="H456" s="2" t="n">
        <v>0.08173999999999999</v>
      </c>
    </row>
    <row r="457">
      <c r="D457" s="2" t="n">
        <v>0.08545899999999999</v>
      </c>
      <c r="E457" s="2" t="n">
        <v>0.08314100000000001</v>
      </c>
      <c r="G457" s="2" t="n">
        <v>0.089117</v>
      </c>
      <c r="H457" s="2" t="n">
        <v>0.086976</v>
      </c>
    </row>
    <row r="458">
      <c r="D458" s="2" t="n">
        <v>0.08341700000000001</v>
      </c>
      <c r="E458" s="2" t="n">
        <v>0.080358</v>
      </c>
      <c r="G458" s="2" t="n">
        <v>0.091236</v>
      </c>
      <c r="H458" s="2" t="n">
        <v>0.08938</v>
      </c>
    </row>
    <row r="459">
      <c r="D459" s="2" t="n">
        <v>0.096662</v>
      </c>
      <c r="E459" s="2" t="n">
        <v>0.094614</v>
      </c>
      <c r="G459" s="2" t="n">
        <v>0.082769</v>
      </c>
      <c r="H459" s="2" t="n">
        <v>0.080052</v>
      </c>
    </row>
    <row r="460">
      <c r="D460" s="2" t="n">
        <v>0.083441</v>
      </c>
      <c r="E460" s="2" t="n">
        <v>0.08224099999999999</v>
      </c>
      <c r="G460" s="2" t="n">
        <v>0.087767</v>
      </c>
      <c r="H460" s="2" t="n">
        <v>0.084893</v>
      </c>
    </row>
    <row r="461">
      <c r="D461" s="2" t="n">
        <v>0.08139</v>
      </c>
      <c r="E461" s="2" t="n">
        <v>0.080967</v>
      </c>
      <c r="G461" s="2" t="n">
        <v>0.08340400000000001</v>
      </c>
      <c r="H461" s="2" t="n">
        <v>0.079969</v>
      </c>
    </row>
    <row r="462">
      <c r="D462" s="2" t="n">
        <v>0.08243</v>
      </c>
      <c r="E462" s="2" t="n">
        <v>0.080831</v>
      </c>
      <c r="G462" s="2" t="n">
        <v>0.08759400000000001</v>
      </c>
      <c r="H462" s="2" t="n">
        <v>0.084109</v>
      </c>
    </row>
    <row r="463">
      <c r="D463" s="2" t="n">
        <v>0.081978</v>
      </c>
      <c r="E463" s="2" t="n">
        <v>0.08036600000000001</v>
      </c>
      <c r="G463" s="2" t="n">
        <v>0.081204</v>
      </c>
      <c r="H463" s="2" t="n">
        <v>0.07796</v>
      </c>
    </row>
    <row r="464">
      <c r="D464" s="2" t="n">
        <v>0.08536299999999999</v>
      </c>
      <c r="E464" s="2" t="n">
        <v>0.08296000000000001</v>
      </c>
      <c r="G464" s="2" t="n">
        <v>0.083078</v>
      </c>
      <c r="H464" s="2" t="n">
        <v>0.079358</v>
      </c>
    </row>
    <row r="465">
      <c r="D465" s="2" t="n">
        <v>0.085955</v>
      </c>
      <c r="E465" s="2" t="n">
        <v>0.08307</v>
      </c>
      <c r="G465" s="2" t="n">
        <v>0.08336200000000001</v>
      </c>
      <c r="H465" s="2" t="n">
        <v>0.08133600000000001</v>
      </c>
    </row>
    <row r="466">
      <c r="D466" s="2" t="n">
        <v>0.090766</v>
      </c>
      <c r="E466" s="2" t="n">
        <v>0.08752</v>
      </c>
      <c r="G466" s="2" t="n">
        <v>0.08155800000000001</v>
      </c>
      <c r="H466" s="2" t="n">
        <v>0.079924</v>
      </c>
    </row>
    <row r="467">
      <c r="D467" s="2" t="n">
        <v>0.087045</v>
      </c>
      <c r="E467" s="2" t="n">
        <v>0.085242</v>
      </c>
      <c r="G467" s="2" t="n">
        <v>0.08427900000000001</v>
      </c>
      <c r="H467" s="2" t="n">
        <v>0.081801</v>
      </c>
    </row>
    <row r="468">
      <c r="D468" s="2" t="n">
        <v>0.09144099999999999</v>
      </c>
      <c r="E468" s="2" t="n">
        <v>0.089256</v>
      </c>
      <c r="G468" s="2" t="n">
        <v>0.08371000000000001</v>
      </c>
      <c r="H468" s="2" t="n">
        <v>0.082721</v>
      </c>
    </row>
    <row r="469">
      <c r="D469" s="2" t="n">
        <v>0.084519</v>
      </c>
      <c r="E469" s="2" t="n">
        <v>0.08232399999999999</v>
      </c>
      <c r="G469" s="2" t="n">
        <v>0.080988</v>
      </c>
      <c r="H469" s="2" t="n">
        <v>0.079262</v>
      </c>
    </row>
    <row r="470">
      <c r="D470" s="2" t="n">
        <v>0.08661099999999999</v>
      </c>
      <c r="E470" s="2" t="n">
        <v>0.083967</v>
      </c>
      <c r="G470" s="2" t="n">
        <v>0.08459899999999999</v>
      </c>
      <c r="H470" s="2" t="n">
        <v>0.082708</v>
      </c>
    </row>
    <row r="471">
      <c r="D471" s="2" t="n">
        <v>0.08347499999999999</v>
      </c>
      <c r="E471" s="2" t="n">
        <v>0.081485</v>
      </c>
      <c r="G471" s="2" t="n">
        <v>0.082855</v>
      </c>
      <c r="H471" s="2" t="n">
        <v>0.07925599999999999</v>
      </c>
    </row>
    <row r="472">
      <c r="D472" s="2" t="n">
        <v>0.08490499999999999</v>
      </c>
      <c r="E472" s="2" t="n">
        <v>0.084314</v>
      </c>
      <c r="G472" s="2" t="n">
        <v>0.084327</v>
      </c>
      <c r="H472" s="2" t="n">
        <v>0.082535</v>
      </c>
    </row>
    <row r="473">
      <c r="D473" s="2" t="n">
        <v>0.092694</v>
      </c>
      <c r="E473" s="2" t="n">
        <v>0.08937</v>
      </c>
      <c r="G473" s="2" t="n">
        <v>0.081223</v>
      </c>
      <c r="H473" s="2" t="n">
        <v>0.078738</v>
      </c>
    </row>
    <row r="474">
      <c r="D474" s="2" t="n">
        <v>0.08629199999999999</v>
      </c>
      <c r="E474" s="2" t="n">
        <v>0.08578</v>
      </c>
      <c r="G474" s="2" t="n">
        <v>0.092302</v>
      </c>
      <c r="H474" s="2" t="n">
        <v>0.09099500000000001</v>
      </c>
    </row>
    <row r="475">
      <c r="D475" s="2" t="n">
        <v>0.09114700000000001</v>
      </c>
      <c r="E475" s="2" t="n">
        <v>0.088254</v>
      </c>
      <c r="G475" s="2" t="n">
        <v>0.084619</v>
      </c>
      <c r="H475" s="2" t="n">
        <v>0.08161599999999999</v>
      </c>
    </row>
    <row r="476">
      <c r="D476" s="2" t="n">
        <v>0.103377</v>
      </c>
      <c r="E476" s="2" t="n">
        <v>0.100827</v>
      </c>
      <c r="G476" s="2" t="n">
        <v>0.079971</v>
      </c>
      <c r="H476" s="2" t="n">
        <v>0.077041</v>
      </c>
    </row>
    <row r="477">
      <c r="D477" s="2" t="n">
        <v>0.08085100000000001</v>
      </c>
      <c r="E477" s="2" t="n">
        <v>0.078416</v>
      </c>
      <c r="G477" s="2" t="n">
        <v>0.093043</v>
      </c>
      <c r="H477" s="2" t="n">
        <v>0.088336</v>
      </c>
    </row>
    <row r="478">
      <c r="D478" s="2" t="n">
        <v>0.082007</v>
      </c>
      <c r="E478" s="2" t="n">
        <v>0.080025</v>
      </c>
      <c r="G478" s="2" t="n">
        <v>0.085856</v>
      </c>
      <c r="H478" s="2" t="n">
        <v>0.083742</v>
      </c>
    </row>
    <row r="479">
      <c r="D479" s="2" t="n">
        <v>0.08312700000000001</v>
      </c>
      <c r="E479" s="2" t="n">
        <v>0.081567</v>
      </c>
      <c r="G479" s="2" t="n">
        <v>0.080081</v>
      </c>
      <c r="H479" s="2" t="n">
        <v>0.077116</v>
      </c>
    </row>
    <row r="480">
      <c r="D480" s="2" t="n">
        <v>0.084133</v>
      </c>
      <c r="E480" s="2" t="n">
        <v>0.081453</v>
      </c>
      <c r="G480" s="2" t="n">
        <v>0.081736</v>
      </c>
      <c r="H480" s="2" t="n">
        <v>0.07854999999999999</v>
      </c>
    </row>
    <row r="481">
      <c r="D481" s="2" t="n">
        <v>0.081926</v>
      </c>
      <c r="E481" s="2" t="n">
        <v>0.08065799999999999</v>
      </c>
      <c r="G481" s="2" t="n">
        <v>0.092345</v>
      </c>
      <c r="H481" s="2" t="n">
        <v>0.090387</v>
      </c>
    </row>
    <row r="482">
      <c r="D482" s="2" t="n">
        <v>0.087036</v>
      </c>
      <c r="E482" s="2" t="n">
        <v>0.08394699999999999</v>
      </c>
      <c r="G482" s="2" t="n">
        <v>0.082791</v>
      </c>
      <c r="H482" s="2" t="n">
        <v>0.07913000000000001</v>
      </c>
    </row>
    <row r="483">
      <c r="D483" s="2" t="n">
        <v>0.08010100000000001</v>
      </c>
      <c r="E483" s="2" t="n">
        <v>0.07885</v>
      </c>
      <c r="G483" s="2" t="n">
        <v>0.079967</v>
      </c>
      <c r="H483" s="2" t="n">
        <v>0.076933</v>
      </c>
    </row>
    <row r="484">
      <c r="D484" s="2" t="n">
        <v>0.08086500000000001</v>
      </c>
      <c r="E484" s="2" t="n">
        <v>0.07878</v>
      </c>
      <c r="G484" s="2" t="n">
        <v>0.082624</v>
      </c>
      <c r="H484" s="2" t="n">
        <v>0.080272</v>
      </c>
    </row>
    <row r="485">
      <c r="D485" s="2" t="n">
        <v>0.09016299999999999</v>
      </c>
      <c r="E485" s="2" t="n">
        <v>0.08981</v>
      </c>
      <c r="G485" s="2" t="n">
        <v>0.082527</v>
      </c>
      <c r="H485" s="2" t="n">
        <v>0.078913</v>
      </c>
    </row>
    <row r="486">
      <c r="D486" s="2" t="n">
        <v>0.08152</v>
      </c>
      <c r="E486" s="2" t="n">
        <v>0.079495</v>
      </c>
      <c r="G486" s="2" t="n">
        <v>0.080002</v>
      </c>
      <c r="H486" s="2" t="n">
        <v>0.07726</v>
      </c>
    </row>
    <row r="487">
      <c r="D487" s="2" t="n">
        <v>0.081844</v>
      </c>
      <c r="E487" s="2" t="n">
        <v>0.08022899999999999</v>
      </c>
      <c r="G487" s="2" t="n">
        <v>0.086225</v>
      </c>
      <c r="H487" s="2" t="n">
        <v>0.08404300000000001</v>
      </c>
    </row>
    <row r="488">
      <c r="D488" s="2" t="n">
        <v>0.08365400000000001</v>
      </c>
      <c r="E488" s="2" t="n">
        <v>0.082619</v>
      </c>
      <c r="G488" s="2" t="n">
        <v>0.08509700000000001</v>
      </c>
      <c r="H488" s="2" t="n">
        <v>0.083471</v>
      </c>
    </row>
    <row r="489">
      <c r="D489" s="2" t="n">
        <v>0.08740299999999999</v>
      </c>
      <c r="E489" s="2" t="n">
        <v>0.085644</v>
      </c>
      <c r="G489" s="2" t="n">
        <v>0.08552999999999999</v>
      </c>
      <c r="H489" s="2" t="n">
        <v>0.083704</v>
      </c>
    </row>
    <row r="490">
      <c r="D490" s="2" t="n">
        <v>0.081756</v>
      </c>
      <c r="E490" s="2" t="n">
        <v>0.079431</v>
      </c>
      <c r="G490" s="2" t="n">
        <v>0.08515</v>
      </c>
      <c r="H490" s="2" t="n">
        <v>0.081735</v>
      </c>
    </row>
    <row r="491">
      <c r="D491" s="2" t="n">
        <v>0.089142</v>
      </c>
      <c r="E491" s="2" t="n">
        <v>0.086106</v>
      </c>
      <c r="G491" s="2" t="n">
        <v>0.08307</v>
      </c>
      <c r="H491" s="2" t="n">
        <v>0.080411</v>
      </c>
    </row>
    <row r="492">
      <c r="D492" s="2" t="n">
        <v>0.091736</v>
      </c>
      <c r="E492" s="2" t="n">
        <v>0.08948</v>
      </c>
      <c r="G492" s="2" t="n">
        <v>0.081258</v>
      </c>
      <c r="H492" s="2" t="n">
        <v>0.078302</v>
      </c>
    </row>
    <row r="493">
      <c r="D493" s="2" t="n">
        <v>0.085246</v>
      </c>
      <c r="E493" s="2" t="n">
        <v>0.082999</v>
      </c>
      <c r="G493" s="2" t="n">
        <v>0.090438</v>
      </c>
      <c r="H493" s="2" t="n">
        <v>0.088465</v>
      </c>
    </row>
    <row r="494">
      <c r="D494" s="2" t="n">
        <v>0.090641</v>
      </c>
      <c r="E494" s="2" t="n">
        <v>0.089439</v>
      </c>
      <c r="G494" s="2" t="n">
        <v>0.083977</v>
      </c>
      <c r="H494" s="2" t="n">
        <v>0.081065</v>
      </c>
    </row>
    <row r="495">
      <c r="D495" s="2" t="n">
        <v>0.080433</v>
      </c>
      <c r="E495" s="2" t="n">
        <v>0.078995</v>
      </c>
      <c r="G495" s="2" t="n">
        <v>0.08232100000000001</v>
      </c>
      <c r="H495" s="2" t="n">
        <v>0.08161499999999999</v>
      </c>
    </row>
    <row r="496">
      <c r="D496" s="2" t="n">
        <v>0.091656</v>
      </c>
      <c r="E496" s="2" t="n">
        <v>0.089378</v>
      </c>
      <c r="G496" s="2" t="n">
        <v>0.083356</v>
      </c>
      <c r="H496" s="2" t="n">
        <v>0.080461</v>
      </c>
    </row>
    <row r="497">
      <c r="D497" s="2" t="n">
        <v>0.08063099999999999</v>
      </c>
      <c r="E497" s="2" t="n">
        <v>0.08011500000000001</v>
      </c>
      <c r="G497" s="2" t="n">
        <v>0.081372</v>
      </c>
      <c r="H497" s="2" t="n">
        <v>0.078721</v>
      </c>
    </row>
    <row r="498">
      <c r="D498" s="2" t="n">
        <v>0.08697299999999999</v>
      </c>
      <c r="E498" s="2" t="n">
        <v>0.08512400000000001</v>
      </c>
      <c r="G498" s="2" t="n">
        <v>0.092596</v>
      </c>
      <c r="H498" s="2" t="n">
        <v>0.09106599999999999</v>
      </c>
    </row>
    <row r="499">
      <c r="D499" s="2" t="n">
        <v>0.081036</v>
      </c>
      <c r="E499" s="2" t="n">
        <v>0.079192</v>
      </c>
      <c r="G499" s="2" t="n">
        <v>0.079142</v>
      </c>
      <c r="H499" s="2" t="n">
        <v>0.07611800000000001</v>
      </c>
    </row>
    <row r="500">
      <c r="D500" s="2" t="n">
        <v>0.08224099999999999</v>
      </c>
      <c r="E500" s="2" t="n">
        <v>0.08087</v>
      </c>
      <c r="G500" s="2" t="n">
        <v>0.084707</v>
      </c>
      <c r="H500" s="2" t="n">
        <v>0.082132</v>
      </c>
    </row>
    <row r="501">
      <c r="D501" s="2" t="n">
        <v>0.081026</v>
      </c>
      <c r="E501" s="2" t="n">
        <v>0.078572</v>
      </c>
      <c r="G501" s="2" t="n">
        <v>0.080919</v>
      </c>
      <c r="H501" s="2" t="n">
        <v>0.07765900000000001</v>
      </c>
    </row>
    <row r="502">
      <c r="D502" s="2" t="n">
        <v>0.083055</v>
      </c>
      <c r="E502" s="2" t="n">
        <v>0.080979</v>
      </c>
      <c r="G502" s="2" t="n">
        <v>0.083009</v>
      </c>
      <c r="H502" s="2" t="n">
        <v>0.08011500000000001</v>
      </c>
    </row>
    <row r="503">
      <c r="D503" s="2" t="n">
        <v>0.081298</v>
      </c>
      <c r="E503" s="2" t="n">
        <v>0.07993</v>
      </c>
      <c r="G503" s="2" t="n">
        <v>0.079073</v>
      </c>
      <c r="H503" s="2" t="n">
        <v>0.07584200000000001</v>
      </c>
    </row>
    <row r="504">
      <c r="D504" s="2" t="n">
        <v>0.08061699999999999</v>
      </c>
      <c r="E504" s="2" t="n">
        <v>0.078407</v>
      </c>
      <c r="G504" s="2" t="n">
        <v>0.081233</v>
      </c>
      <c r="H504" s="2" t="n">
        <v>0.078266</v>
      </c>
    </row>
    <row r="505">
      <c r="D505" s="2" t="n">
        <v>0.081007</v>
      </c>
      <c r="E505" s="2" t="n">
        <v>0.079152</v>
      </c>
      <c r="G505" s="2" t="n">
        <v>0.084092</v>
      </c>
      <c r="H505" s="2" t="n">
        <v>0.081955</v>
      </c>
    </row>
    <row r="506">
      <c r="D506" s="2" t="n">
        <v>0.08484800000000001</v>
      </c>
      <c r="E506" s="2" t="n">
        <v>0.08300100000000001</v>
      </c>
      <c r="G506" s="2" t="n">
        <v>0.079383</v>
      </c>
      <c r="H506" s="2" t="n">
        <v>0.077084</v>
      </c>
    </row>
    <row r="507">
      <c r="D507" s="2" t="n">
        <v>0.08136400000000001</v>
      </c>
      <c r="E507" s="2" t="n">
        <v>0.078655</v>
      </c>
      <c r="G507" s="2" t="n">
        <v>0.079147</v>
      </c>
      <c r="H507" s="2" t="n">
        <v>0.076763</v>
      </c>
    </row>
    <row r="508">
      <c r="D508" s="2" t="n">
        <v>0.07943699999999999</v>
      </c>
      <c r="E508" s="2" t="n">
        <v>0.07732899999999999</v>
      </c>
      <c r="G508" s="2" t="n">
        <v>0.082012</v>
      </c>
      <c r="H508" s="2" t="n">
        <v>0.079669</v>
      </c>
    </row>
    <row r="509">
      <c r="D509" s="2" t="n">
        <v>0.083963</v>
      </c>
      <c r="E509" s="2" t="n">
        <v>0.08082499999999999</v>
      </c>
      <c r="G509" s="2" t="n">
        <v>0.07871</v>
      </c>
      <c r="H509" s="2" t="n">
        <v>0.07539</v>
      </c>
    </row>
    <row r="510">
      <c r="D510" s="2" t="n">
        <v>0.084076</v>
      </c>
      <c r="E510" s="2" t="n">
        <v>0.08178000000000001</v>
      </c>
      <c r="G510" s="2" t="n">
        <v>0.080164</v>
      </c>
      <c r="H510" s="2" t="n">
        <v>0.07754900000000001</v>
      </c>
    </row>
    <row r="511">
      <c r="D511" s="2" t="n">
        <v>0.08176600000000001</v>
      </c>
      <c r="E511" s="2" t="n">
        <v>0.08033700000000001</v>
      </c>
      <c r="G511" s="2" t="n">
        <v>0.081319</v>
      </c>
      <c r="H511" s="2" t="n">
        <v>0.07835300000000001</v>
      </c>
    </row>
    <row r="512">
      <c r="D512" s="2" t="n">
        <v>0.083888</v>
      </c>
      <c r="E512" s="2" t="n">
        <v>0.08393399999999999</v>
      </c>
      <c r="G512" s="2" t="n">
        <v>0.07803499999999999</v>
      </c>
      <c r="H512" s="2" t="n">
        <v>0.077389</v>
      </c>
    </row>
    <row r="513">
      <c r="D513" s="2" t="n">
        <v>0.080341</v>
      </c>
      <c r="E513" s="2" t="n">
        <v>0.0781</v>
      </c>
      <c r="G513" s="2" t="n">
        <v>0.08484999999999999</v>
      </c>
      <c r="H513" s="2" t="n">
        <v>0.08150300000000001</v>
      </c>
    </row>
    <row r="514">
      <c r="D514" s="2" t="n">
        <v>0.079165</v>
      </c>
      <c r="E514" s="2" t="n">
        <v>0.077531</v>
      </c>
      <c r="G514" s="2" t="n">
        <v>0.08060100000000001</v>
      </c>
      <c r="H514" s="2" t="n">
        <v>0.077777</v>
      </c>
    </row>
    <row r="515">
      <c r="D515" s="2" t="n">
        <v>0.079662</v>
      </c>
      <c r="E515" s="2" t="n">
        <v>0.077184</v>
      </c>
      <c r="G515" s="2" t="n">
        <v>0.081673</v>
      </c>
      <c r="H515" s="2" t="n">
        <v>0.080287</v>
      </c>
    </row>
    <row r="516">
      <c r="D516" s="2" t="n">
        <v>0.087351</v>
      </c>
      <c r="E516" s="2" t="n">
        <v>0.08615299999999999</v>
      </c>
      <c r="G516" s="2" t="n">
        <v>0.081141</v>
      </c>
      <c r="H516" s="2" t="n">
        <v>0.078241</v>
      </c>
    </row>
    <row r="517">
      <c r="D517" s="2" t="n">
        <v>0.079683</v>
      </c>
      <c r="E517" s="2" t="n">
        <v>0.077857</v>
      </c>
      <c r="G517" s="2" t="n">
        <v>0.07888100000000001</v>
      </c>
      <c r="H517" s="2" t="n">
        <v>0.075859</v>
      </c>
    </row>
    <row r="518">
      <c r="D518" s="2" t="n">
        <v>0.082367</v>
      </c>
      <c r="E518" s="2" t="n">
        <v>0.082174</v>
      </c>
      <c r="G518" s="2" t="n">
        <v>0.07881100000000001</v>
      </c>
      <c r="H518" s="2" t="n">
        <v>0.077379</v>
      </c>
    </row>
    <row r="519">
      <c r="D519" s="2" t="n">
        <v>0.083734</v>
      </c>
      <c r="E519" s="2" t="n">
        <v>0.081677</v>
      </c>
      <c r="G519" s="2" t="n">
        <v>0.082886</v>
      </c>
      <c r="H519" s="2" t="n">
        <v>0.08022700000000001</v>
      </c>
    </row>
    <row r="520">
      <c r="D520" s="2" t="n">
        <v>0.078587</v>
      </c>
      <c r="E520" s="2" t="n">
        <v>0.076517</v>
      </c>
      <c r="G520" s="2" t="n">
        <v>0.077565</v>
      </c>
      <c r="H520" s="2" t="n">
        <v>0.07527499999999999</v>
      </c>
    </row>
    <row r="521">
      <c r="D521" s="2" t="n">
        <v>0.079378</v>
      </c>
      <c r="E521" s="2" t="n">
        <v>0.077108</v>
      </c>
      <c r="G521" s="2" t="n">
        <v>0.086836</v>
      </c>
      <c r="H521" s="2" t="n">
        <v>0.084456</v>
      </c>
    </row>
    <row r="522">
      <c r="D522" s="2" t="n">
        <v>0.08671</v>
      </c>
      <c r="E522" s="2" t="n">
        <v>0.084399</v>
      </c>
      <c r="G522" s="2" t="n">
        <v>0.08208600000000001</v>
      </c>
      <c r="H522" s="2" t="n">
        <v>0.078808</v>
      </c>
    </row>
    <row r="523">
      <c r="D523" s="2" t="n">
        <v>0.078371</v>
      </c>
      <c r="E523" s="2" t="n">
        <v>0.07548000000000001</v>
      </c>
      <c r="G523" s="2" t="n">
        <v>0.08688700000000001</v>
      </c>
      <c r="H523" s="2" t="n">
        <v>0.08343</v>
      </c>
    </row>
    <row r="524">
      <c r="D524" s="2" t="n">
        <v>0.07971399999999999</v>
      </c>
      <c r="E524" s="2" t="n">
        <v>0.077436</v>
      </c>
      <c r="G524" s="2" t="n">
        <v>0.078763</v>
      </c>
      <c r="H524" s="2" t="n">
        <v>0.07616199999999999</v>
      </c>
    </row>
    <row r="525">
      <c r="D525" s="2" t="n">
        <v>0.078578</v>
      </c>
      <c r="E525" s="2" t="n">
        <v>0.076486</v>
      </c>
      <c r="G525" s="2" t="n">
        <v>0.07854700000000001</v>
      </c>
      <c r="H525" s="2" t="n">
        <v>0.075395</v>
      </c>
    </row>
    <row r="526">
      <c r="D526" s="2" t="n">
        <v>0.07945099999999999</v>
      </c>
      <c r="E526" s="2" t="n">
        <v>0.078315</v>
      </c>
      <c r="G526" s="2" t="n">
        <v>0.079872</v>
      </c>
      <c r="H526" s="2" t="n">
        <v>0.076088</v>
      </c>
    </row>
    <row r="527">
      <c r="D527" s="2" t="n">
        <v>0.079276</v>
      </c>
      <c r="E527" s="2" t="n">
        <v>0.07853300000000001</v>
      </c>
      <c r="G527" s="2" t="n">
        <v>0.07867300000000001</v>
      </c>
      <c r="H527" s="2" t="n">
        <v>0.07678599999999999</v>
      </c>
    </row>
    <row r="528">
      <c r="D528" s="2" t="n">
        <v>0.07792200000000001</v>
      </c>
      <c r="E528" s="2" t="n">
        <v>0.07662099999999999</v>
      </c>
      <c r="G528" s="2" t="n">
        <v>0.077526</v>
      </c>
      <c r="H528" s="2" t="n">
        <v>0.074171</v>
      </c>
    </row>
    <row r="529">
      <c r="D529" s="2" t="n">
        <v>0.079595</v>
      </c>
      <c r="E529" s="2" t="n">
        <v>0.078454</v>
      </c>
      <c r="G529" s="2" t="n">
        <v>0.081038</v>
      </c>
      <c r="H529" s="2" t="n">
        <v>0.080017</v>
      </c>
    </row>
    <row r="530">
      <c r="D530" s="2" t="n">
        <v>0.086644</v>
      </c>
      <c r="E530" s="2" t="n">
        <v>0.084326</v>
      </c>
      <c r="G530" s="2" t="n">
        <v>0.082076</v>
      </c>
      <c r="H530" s="2" t="n">
        <v>0.079596</v>
      </c>
    </row>
    <row r="531">
      <c r="D531" s="2" t="n">
        <v>0.078919</v>
      </c>
      <c r="E531" s="2" t="n">
        <v>0.07775600000000001</v>
      </c>
      <c r="G531" s="2" t="n">
        <v>0.079127</v>
      </c>
      <c r="H531" s="2" t="n">
        <v>0.076484</v>
      </c>
    </row>
    <row r="532">
      <c r="D532" s="2" t="n">
        <v>0.078221</v>
      </c>
      <c r="E532" s="2" t="n">
        <v>0.075889</v>
      </c>
      <c r="G532" s="2" t="n">
        <v>0.080849</v>
      </c>
      <c r="H532" s="2" t="n">
        <v>0.078626</v>
      </c>
    </row>
    <row r="533">
      <c r="D533" s="2" t="n">
        <v>0.08153100000000001</v>
      </c>
      <c r="E533" s="2" t="n">
        <v>0.07993699999999999</v>
      </c>
      <c r="G533" s="2" t="n">
        <v>0.084393</v>
      </c>
      <c r="H533" s="2" t="n">
        <v>0.082248</v>
      </c>
    </row>
    <row r="534">
      <c r="D534" s="2" t="n">
        <v>0.08011799999999999</v>
      </c>
      <c r="E534" s="2" t="n">
        <v>0.07854700000000001</v>
      </c>
      <c r="G534" s="2" t="n">
        <v>0.083342</v>
      </c>
      <c r="H534" s="2" t="n">
        <v>0.080388</v>
      </c>
    </row>
    <row r="535">
      <c r="D535" s="2" t="n">
        <v>0.08010100000000001</v>
      </c>
      <c r="E535" s="2" t="n">
        <v>0.076835</v>
      </c>
      <c r="G535" s="2" t="n">
        <v>0.079026</v>
      </c>
      <c r="H535" s="2" t="n">
        <v>0.076791</v>
      </c>
    </row>
    <row r="536">
      <c r="D536" s="2" t="n">
        <v>0.087897</v>
      </c>
      <c r="E536" s="2" t="n">
        <v>0.085914</v>
      </c>
      <c r="G536" s="2" t="n">
        <v>0.079388</v>
      </c>
      <c r="H536" s="2" t="n">
        <v>0.078574</v>
      </c>
    </row>
    <row r="537">
      <c r="D537" s="2" t="n">
        <v>0.07896499999999999</v>
      </c>
      <c r="E537" s="2" t="n">
        <v>0.076834</v>
      </c>
      <c r="G537" s="2" t="n">
        <v>0.07824</v>
      </c>
      <c r="H537" s="2" t="n">
        <v>0.076305</v>
      </c>
    </row>
    <row r="538">
      <c r="D538" s="2" t="n">
        <v>0.080023</v>
      </c>
      <c r="E538" s="2" t="n">
        <v>0.079024</v>
      </c>
      <c r="G538" s="2" t="n">
        <v>0.07892200000000001</v>
      </c>
      <c r="H538" s="2" t="n">
        <v>0.07554</v>
      </c>
    </row>
    <row r="539">
      <c r="D539" s="2" t="n">
        <v>0.080997</v>
      </c>
      <c r="E539" s="2" t="n">
        <v>0.078759</v>
      </c>
      <c r="G539" s="2" t="n">
        <v>0.07789600000000001</v>
      </c>
      <c r="H539" s="2" t="n">
        <v>0.07521700000000001</v>
      </c>
    </row>
    <row r="540">
      <c r="D540" s="2" t="n">
        <v>0.087987</v>
      </c>
      <c r="E540" s="2" t="n">
        <v>0.08563800000000001</v>
      </c>
      <c r="G540" s="2" t="n">
        <v>0.078846</v>
      </c>
      <c r="H540" s="2" t="n">
        <v>0.076484</v>
      </c>
    </row>
    <row r="541">
      <c r="D541" s="2" t="n">
        <v>0.088436</v>
      </c>
      <c r="E541" s="2" t="n">
        <v>0.08533399999999999</v>
      </c>
      <c r="G541" s="2" t="n">
        <v>0.07854700000000001</v>
      </c>
      <c r="H541" s="2" t="n">
        <v>0.07605199999999999</v>
      </c>
    </row>
    <row r="542">
      <c r="D542" s="2" t="n">
        <v>0.08167199999999999</v>
      </c>
      <c r="E542" s="2" t="n">
        <v>0.08110000000000001</v>
      </c>
      <c r="G542" s="2" t="n">
        <v>0.07861799999999999</v>
      </c>
      <c r="H542" s="2" t="n">
        <v>0.077512</v>
      </c>
    </row>
    <row r="543">
      <c r="D543" s="2" t="n">
        <v>0.07964599999999999</v>
      </c>
      <c r="E543" s="2" t="n">
        <v>0.077292</v>
      </c>
      <c r="G543" s="2" t="n">
        <v>0.078656</v>
      </c>
      <c r="H543" s="2" t="n">
        <v>0.07650700000000001</v>
      </c>
    </row>
    <row r="544">
      <c r="D544" s="2" t="n">
        <v>0.081538</v>
      </c>
      <c r="E544" s="2" t="n">
        <v>0.080041</v>
      </c>
      <c r="G544" s="2" t="n">
        <v>0.07870199999999999</v>
      </c>
      <c r="H544" s="2" t="n">
        <v>0.075664</v>
      </c>
    </row>
    <row r="545">
      <c r="D545" s="2" t="n">
        <v>0.08625099999999999</v>
      </c>
      <c r="E545" s="2" t="n">
        <v>0.08405</v>
      </c>
      <c r="G545" s="2" t="n">
        <v>0.08335099999999999</v>
      </c>
      <c r="H545" s="2" t="n">
        <v>0.081625</v>
      </c>
    </row>
    <row r="546">
      <c r="D546" s="2" t="n">
        <v>0.07896499999999999</v>
      </c>
      <c r="E546" s="2" t="n">
        <v>0.07627</v>
      </c>
      <c r="G546" s="2" t="n">
        <v>0.079583</v>
      </c>
      <c r="H546" s="2" t="n">
        <v>0.075616</v>
      </c>
    </row>
    <row r="547">
      <c r="D547" s="2" t="n">
        <v>0.079016</v>
      </c>
      <c r="E547" s="2" t="n">
        <v>0.07671799999999999</v>
      </c>
      <c r="G547" s="2" t="n">
        <v>0.07817399999999999</v>
      </c>
      <c r="H547" s="2" t="n">
        <v>0.07582999999999999</v>
      </c>
    </row>
    <row r="548">
      <c r="D548" s="2" t="n">
        <v>0.080263</v>
      </c>
      <c r="E548" s="2" t="n">
        <v>0.078708</v>
      </c>
      <c r="G548" s="2" t="n">
        <v>0.07800700000000001</v>
      </c>
      <c r="H548" s="2" t="n">
        <v>0.074901</v>
      </c>
    </row>
    <row r="549">
      <c r="D549" s="2" t="n">
        <v>0.080155</v>
      </c>
      <c r="E549" s="2" t="n">
        <v>0.07815999999999999</v>
      </c>
      <c r="G549" s="2" t="n">
        <v>0.07834000000000001</v>
      </c>
      <c r="H549" s="2" t="n">
        <v>0.07605099999999999</v>
      </c>
    </row>
    <row r="550">
      <c r="D550" s="2" t="n">
        <v>0.081164</v>
      </c>
      <c r="E550" s="2" t="n">
        <v>0.07889599999999999</v>
      </c>
      <c r="G550" s="2" t="n">
        <v>0.07745100000000001</v>
      </c>
      <c r="H550" s="2" t="n">
        <v>0.07488300000000001</v>
      </c>
    </row>
    <row r="551">
      <c r="D551" s="2" t="n">
        <v>0.07874399999999999</v>
      </c>
      <c r="E551" s="2" t="n">
        <v>0.077419</v>
      </c>
      <c r="G551" s="2" t="n">
        <v>0.083916</v>
      </c>
      <c r="H551" s="2" t="n">
        <v>0.082626</v>
      </c>
    </row>
    <row r="552">
      <c r="D552" s="2" t="n">
        <v>0.079443</v>
      </c>
      <c r="E552" s="2" t="n">
        <v>0.07827199999999999</v>
      </c>
      <c r="G552" s="2" t="n">
        <v>0.08201600000000001</v>
      </c>
      <c r="H552" s="2" t="n">
        <v>0.08076999999999999</v>
      </c>
    </row>
    <row r="553">
      <c r="D553" s="2" t="n">
        <v>0.08050300000000001</v>
      </c>
      <c r="E553" s="2" t="n">
        <v>0.078081</v>
      </c>
      <c r="G553" s="2" t="n">
        <v>0.077628</v>
      </c>
      <c r="H553" s="2" t="n">
        <v>0.074644</v>
      </c>
    </row>
    <row r="554">
      <c r="D554" s="2" t="n">
        <v>0.078463</v>
      </c>
      <c r="E554" s="2" t="n">
        <v>0.076173</v>
      </c>
      <c r="G554" s="2" t="n">
        <v>0.077816</v>
      </c>
      <c r="H554" s="2" t="n">
        <v>0.07459</v>
      </c>
    </row>
    <row r="555">
      <c r="D555" s="2" t="n">
        <v>0.077431</v>
      </c>
      <c r="E555" s="2" t="n">
        <v>0.075502</v>
      </c>
      <c r="G555" s="2" t="n">
        <v>0.081495</v>
      </c>
      <c r="H555" s="2" t="n">
        <v>0.07885</v>
      </c>
    </row>
    <row r="556">
      <c r="D556" s="2" t="n">
        <v>0.078194</v>
      </c>
      <c r="E556" s="2" t="n">
        <v>0.07723099999999999</v>
      </c>
      <c r="G556" s="2" t="n">
        <v>0.077752</v>
      </c>
      <c r="H556" s="2" t="n">
        <v>0.07498</v>
      </c>
    </row>
    <row r="557">
      <c r="D557" s="2" t="n">
        <v>0.078399</v>
      </c>
      <c r="E557" s="2" t="n">
        <v>0.075901</v>
      </c>
      <c r="G557" s="2" t="n">
        <v>0.07749499999999999</v>
      </c>
      <c r="H557" s="2" t="n">
        <v>0.074836</v>
      </c>
    </row>
    <row r="558">
      <c r="D558" s="2" t="n">
        <v>0.078988</v>
      </c>
      <c r="E558" s="2" t="n">
        <v>0.07650899999999999</v>
      </c>
      <c r="G558" s="2" t="n">
        <v>0.08254599999999999</v>
      </c>
      <c r="H558" s="2" t="n">
        <v>0.07931299999999999</v>
      </c>
    </row>
    <row r="559">
      <c r="D559" s="2" t="n">
        <v>0.08147799999999999</v>
      </c>
      <c r="E559" s="2" t="n">
        <v>0.080108</v>
      </c>
      <c r="G559" s="2" t="n">
        <v>0.077528</v>
      </c>
      <c r="H559" s="2" t="n">
        <v>0.07569099999999999</v>
      </c>
    </row>
    <row r="560">
      <c r="D560" s="2" t="n">
        <v>0.07928300000000001</v>
      </c>
      <c r="E560" s="2" t="n">
        <v>0.077782</v>
      </c>
      <c r="G560" s="2" t="n">
        <v>0.082384</v>
      </c>
      <c r="H560" s="2" t="n">
        <v>0.078791</v>
      </c>
    </row>
    <row r="561">
      <c r="D561" s="2" t="n">
        <v>0.07621699999999999</v>
      </c>
      <c r="E561" s="2" t="n">
        <v>0.074114</v>
      </c>
      <c r="G561" s="2" t="n">
        <v>0.08035</v>
      </c>
      <c r="H561" s="2" t="n">
        <v>0.077691</v>
      </c>
    </row>
    <row r="562">
      <c r="D562" s="2" t="n">
        <v>0.07827000000000001</v>
      </c>
      <c r="E562" s="2" t="n">
        <v>0.076016</v>
      </c>
      <c r="G562" s="2" t="n">
        <v>0.076707</v>
      </c>
      <c r="H562" s="2" t="n">
        <v>0.074879</v>
      </c>
    </row>
    <row r="563">
      <c r="D563" s="2" t="n">
        <v>0.077934</v>
      </c>
      <c r="E563" s="2" t="n">
        <v>0.075873</v>
      </c>
      <c r="G563" s="2" t="n">
        <v>0.079609</v>
      </c>
      <c r="H563" s="2" t="n">
        <v>0.076859</v>
      </c>
    </row>
    <row r="564">
      <c r="D564" s="2" t="n">
        <v>0.083536</v>
      </c>
      <c r="E564" s="2" t="n">
        <v>0.081931</v>
      </c>
      <c r="G564" s="2" t="n">
        <v>0.076904</v>
      </c>
      <c r="H564" s="2" t="n">
        <v>0.074742</v>
      </c>
    </row>
    <row r="565">
      <c r="D565" s="2" t="n">
        <v>0.07922899999999999</v>
      </c>
      <c r="E565" s="2" t="n">
        <v>0.077068</v>
      </c>
      <c r="G565" s="2" t="n">
        <v>0.07868</v>
      </c>
      <c r="H565" s="2" t="n">
        <v>0.075714</v>
      </c>
    </row>
    <row r="566">
      <c r="D566" s="2" t="n">
        <v>0.07820100000000001</v>
      </c>
      <c r="E566" s="2" t="n">
        <v>0.076199</v>
      </c>
      <c r="G566" s="2" t="n">
        <v>0.076534</v>
      </c>
      <c r="H566" s="2" t="n">
        <v>0.074805</v>
      </c>
    </row>
    <row r="567">
      <c r="D567" s="2" t="n">
        <v>0.07707899999999999</v>
      </c>
      <c r="E567" s="2" t="n">
        <v>0.075143</v>
      </c>
      <c r="G567" s="2" t="n">
        <v>0.07839599999999999</v>
      </c>
      <c r="H567" s="2" t="n">
        <v>0.075097</v>
      </c>
    </row>
    <row r="568">
      <c r="D568" s="2" t="n">
        <v>0.078981</v>
      </c>
      <c r="E568" s="2" t="n">
        <v>0.075854</v>
      </c>
      <c r="G568" s="2" t="n">
        <v>0.077154</v>
      </c>
      <c r="H568" s="2" t="n">
        <v>0.07403899999999999</v>
      </c>
    </row>
    <row r="569">
      <c r="D569" s="2" t="n">
        <v>0.08314299999999999</v>
      </c>
      <c r="E569" s="2" t="n">
        <v>0.082012</v>
      </c>
      <c r="G569" s="2" t="n">
        <v>0.07782</v>
      </c>
      <c r="H569" s="2" t="n">
        <v>0.07543</v>
      </c>
    </row>
    <row r="570">
      <c r="D570" s="2" t="n">
        <v>0.07845299999999999</v>
      </c>
      <c r="E570" s="2" t="n">
        <v>0.075604</v>
      </c>
      <c r="G570" s="2" t="n">
        <v>0.075946</v>
      </c>
      <c r="H570" s="2" t="n">
        <v>0.074073</v>
      </c>
    </row>
    <row r="571">
      <c r="D571" s="2" t="n">
        <v>0.07665</v>
      </c>
      <c r="E571" s="2" t="n">
        <v>0.074378</v>
      </c>
      <c r="G571" s="2" t="n">
        <v>0.07617500000000001</v>
      </c>
      <c r="H571" s="2" t="n">
        <v>0.07403700000000001</v>
      </c>
    </row>
    <row r="572">
      <c r="D572" s="2" t="n">
        <v>0.078515</v>
      </c>
      <c r="E572" s="2" t="n">
        <v>0.076589</v>
      </c>
      <c r="G572" s="2" t="n">
        <v>0.078471</v>
      </c>
      <c r="H572" s="2" t="n">
        <v>0.075337</v>
      </c>
    </row>
    <row r="573">
      <c r="D573" s="2" t="n">
        <v>0.07817499999999999</v>
      </c>
      <c r="E573" s="2" t="n">
        <v>0.076456</v>
      </c>
      <c r="G573" s="2" t="n">
        <v>0.07668800000000001</v>
      </c>
      <c r="H573" s="2" t="n">
        <v>0.073673</v>
      </c>
    </row>
    <row r="574">
      <c r="D574" s="2" t="n">
        <v>0.077362</v>
      </c>
      <c r="E574" s="2" t="n">
        <v>0.075581</v>
      </c>
      <c r="G574" s="2" t="n">
        <v>0.07673000000000001</v>
      </c>
      <c r="H574" s="2" t="n">
        <v>0.074907</v>
      </c>
    </row>
    <row r="575">
      <c r="D575" s="2" t="n">
        <v>0.076863</v>
      </c>
      <c r="E575" s="2" t="n">
        <v>0.07441399999999999</v>
      </c>
      <c r="G575" s="2" t="n">
        <v>0.07945099999999999</v>
      </c>
      <c r="H575" s="2" t="n">
        <v>0.07767499999999999</v>
      </c>
    </row>
    <row r="576">
      <c r="D576" s="2" t="n">
        <v>0.076585</v>
      </c>
      <c r="E576" s="2" t="n">
        <v>0.075086</v>
      </c>
      <c r="G576" s="2" t="n">
        <v>0.07589799999999999</v>
      </c>
      <c r="H576" s="2" t="n">
        <v>0.073605</v>
      </c>
    </row>
    <row r="577">
      <c r="D577" s="2" t="n">
        <v>0.077226</v>
      </c>
      <c r="E577" s="2" t="n">
        <v>0.07500800000000001</v>
      </c>
      <c r="G577" s="2" t="n">
        <v>0.07752000000000001</v>
      </c>
      <c r="H577" s="2" t="n">
        <v>0.073973</v>
      </c>
    </row>
    <row r="578">
      <c r="D578" s="2" t="n">
        <v>0.07725600000000001</v>
      </c>
      <c r="E578" s="2" t="n">
        <v>0.07482999999999999</v>
      </c>
      <c r="G578" s="2" t="n">
        <v>0.077033</v>
      </c>
      <c r="H578" s="2" t="n">
        <v>0.074365</v>
      </c>
    </row>
    <row r="579">
      <c r="D579" s="2" t="n">
        <v>0.08323800000000001</v>
      </c>
      <c r="E579" s="2" t="n">
        <v>0.081051</v>
      </c>
      <c r="G579" s="2" t="n">
        <v>0.08142199999999999</v>
      </c>
      <c r="H579" s="2" t="n">
        <v>0.07821400000000001</v>
      </c>
    </row>
    <row r="580">
      <c r="D580" s="2" t="n">
        <v>0.077649</v>
      </c>
      <c r="E580" s="2" t="n">
        <v>0.075714</v>
      </c>
      <c r="G580" s="2" t="n">
        <v>0.07660599999999999</v>
      </c>
      <c r="H580" s="2" t="n">
        <v>0.073264</v>
      </c>
    </row>
    <row r="581">
      <c r="D581" s="2" t="n">
        <v>0.078148</v>
      </c>
      <c r="E581" s="2" t="n">
        <v>0.077709</v>
      </c>
      <c r="G581" s="2" t="n">
        <v>0.07634000000000001</v>
      </c>
      <c r="H581" s="2" t="n">
        <v>0.073701</v>
      </c>
    </row>
    <row r="582">
      <c r="D582" s="2" t="n">
        <v>0.079919</v>
      </c>
      <c r="E582" s="2" t="n">
        <v>0.078317</v>
      </c>
      <c r="G582" s="2" t="n">
        <v>0.080668</v>
      </c>
      <c r="H582" s="2" t="n">
        <v>0.077405</v>
      </c>
    </row>
    <row r="583">
      <c r="D583" s="2" t="n">
        <v>0.085572</v>
      </c>
      <c r="E583" s="2" t="n">
        <v>0.083088</v>
      </c>
      <c r="G583" s="2" t="n">
        <v>0.07692499999999999</v>
      </c>
      <c r="H583" s="2" t="n">
        <v>0.073672</v>
      </c>
    </row>
    <row r="584">
      <c r="D584" s="2" t="n">
        <v>0.079376</v>
      </c>
      <c r="E584" s="2" t="n">
        <v>0.077332</v>
      </c>
      <c r="G584" s="2" t="n">
        <v>0.075557</v>
      </c>
      <c r="H584" s="2" t="n">
        <v>0.072639</v>
      </c>
    </row>
    <row r="585">
      <c r="D585" s="2" t="n">
        <v>0.076213</v>
      </c>
      <c r="E585" s="2" t="n">
        <v>0.074158</v>
      </c>
      <c r="G585" s="2" t="n">
        <v>0.078295</v>
      </c>
      <c r="H585" s="2" t="n">
        <v>0.075451</v>
      </c>
    </row>
    <row r="586">
      <c r="D586" s="2" t="n">
        <v>0.080301</v>
      </c>
      <c r="E586" s="2" t="n">
        <v>0.077581</v>
      </c>
      <c r="G586" s="2" t="n">
        <v>0.082093</v>
      </c>
      <c r="H586" s="2" t="n">
        <v>0.081793</v>
      </c>
    </row>
    <row r="587">
      <c r="D587" s="2" t="n">
        <v>0.07875699999999999</v>
      </c>
      <c r="E587" s="2" t="n">
        <v>0.07786999999999999</v>
      </c>
      <c r="G587" s="2" t="n">
        <v>0.07636800000000001</v>
      </c>
      <c r="H587" s="2" t="n">
        <v>0.07471899999999999</v>
      </c>
    </row>
    <row r="588">
      <c r="D588" s="2" t="n">
        <v>0.076054</v>
      </c>
      <c r="E588" s="2" t="n">
        <v>0.074449</v>
      </c>
      <c r="G588" s="2" t="n">
        <v>0.083456</v>
      </c>
      <c r="H588" s="2" t="n">
        <v>0.08040899999999999</v>
      </c>
    </row>
    <row r="589">
      <c r="D589" s="2" t="n">
        <v>0.079141</v>
      </c>
      <c r="E589" s="2" t="n">
        <v>0.076585</v>
      </c>
      <c r="G589" s="2" t="n">
        <v>0.07714799999999999</v>
      </c>
      <c r="H589" s="2" t="n">
        <v>0.075021</v>
      </c>
    </row>
    <row r="590">
      <c r="D590" s="2" t="n">
        <v>0.077017</v>
      </c>
      <c r="E590" s="2" t="n">
        <v>0.07500900000000001</v>
      </c>
      <c r="G590" s="2" t="n">
        <v>0.076584</v>
      </c>
      <c r="H590" s="2" t="n">
        <v>0.07373399999999999</v>
      </c>
    </row>
    <row r="591">
      <c r="D591" s="2" t="n">
        <v>0.07723099999999999</v>
      </c>
      <c r="E591" s="2" t="n">
        <v>0.07597</v>
      </c>
      <c r="G591" s="2" t="n">
        <v>0.076824</v>
      </c>
      <c r="H591" s="2" t="n">
        <v>0.07366300000000001</v>
      </c>
    </row>
    <row r="592">
      <c r="D592" s="2" t="n">
        <v>0.08271000000000001</v>
      </c>
      <c r="E592" s="2" t="n">
        <v>0.080346</v>
      </c>
      <c r="G592" s="2" t="n">
        <v>0.075451</v>
      </c>
      <c r="H592" s="2" t="n">
        <v>0.072439</v>
      </c>
    </row>
    <row r="593">
      <c r="D593" s="2" t="n">
        <v>0.077088</v>
      </c>
      <c r="E593" s="2" t="n">
        <v>0.075089</v>
      </c>
      <c r="G593" s="2" t="n">
        <v>0.07566100000000001</v>
      </c>
      <c r="H593" s="2" t="n">
        <v>0.073047</v>
      </c>
    </row>
    <row r="594">
      <c r="D594" s="2" t="n">
        <v>0.078141</v>
      </c>
      <c r="E594" s="2" t="n">
        <v>0.077738</v>
      </c>
      <c r="G594" s="2" t="n">
        <v>0.078509</v>
      </c>
      <c r="H594" s="2" t="n">
        <v>0.07550900000000001</v>
      </c>
    </row>
    <row r="595">
      <c r="D595" s="2" t="n">
        <v>0.076529</v>
      </c>
      <c r="E595" s="2" t="n">
        <v>0.07503899999999999</v>
      </c>
      <c r="G595" s="2" t="n">
        <v>0.077725</v>
      </c>
      <c r="H595" s="2" t="n">
        <v>0.074292</v>
      </c>
    </row>
    <row r="596">
      <c r="D596" s="2" t="n">
        <v>0.076053</v>
      </c>
      <c r="E596" s="2" t="n">
        <v>0.07445499999999999</v>
      </c>
      <c r="G596" s="2" t="n">
        <v>0.075433</v>
      </c>
      <c r="H596" s="2" t="n">
        <v>0.072466</v>
      </c>
    </row>
    <row r="597">
      <c r="D597" s="2" t="n">
        <v>0.082991</v>
      </c>
      <c r="E597" s="2" t="n">
        <v>0.081757</v>
      </c>
      <c r="G597" s="2" t="n">
        <v>0.079669</v>
      </c>
      <c r="H597" s="2" t="n">
        <v>0.076988</v>
      </c>
    </row>
    <row r="598">
      <c r="D598" s="2" t="n">
        <v>0.076818</v>
      </c>
      <c r="E598" s="2" t="n">
        <v>0.076054</v>
      </c>
      <c r="G598" s="2" t="n">
        <v>0.076062</v>
      </c>
      <c r="H598" s="2" t="n">
        <v>0.072616</v>
      </c>
    </row>
    <row r="599">
      <c r="D599" s="2" t="n">
        <v>0.077101</v>
      </c>
      <c r="E599" s="2" t="n">
        <v>0.075069</v>
      </c>
      <c r="G599" s="2" t="n">
        <v>0.077179</v>
      </c>
      <c r="H599" s="2" t="n">
        <v>0.07427400000000001</v>
      </c>
    </row>
    <row r="600">
      <c r="D600" s="2" t="n">
        <v>0.074558</v>
      </c>
      <c r="E600" s="2" t="n">
        <v>0.07347099999999999</v>
      </c>
      <c r="G600" s="2" t="n">
        <v>0.077432</v>
      </c>
      <c r="H600" s="2" t="n">
        <v>0.074416</v>
      </c>
    </row>
    <row r="601">
      <c r="D601" s="2" t="n">
        <v>0.07678</v>
      </c>
      <c r="E601" s="2" t="n">
        <v>0.073624</v>
      </c>
      <c r="G601" s="2" t="n">
        <v>0.07555000000000001</v>
      </c>
      <c r="H601" s="2" t="n">
        <v>0.07230200000000001</v>
      </c>
    </row>
    <row r="602">
      <c r="D602" s="2" t="n">
        <v>0.07681499999999999</v>
      </c>
      <c r="E602" s="2" t="n">
        <v>0.074658</v>
      </c>
      <c r="G602" s="2" t="n">
        <v>0.075963</v>
      </c>
      <c r="H602" s="2" t="n">
        <v>0.073396</v>
      </c>
    </row>
    <row r="603">
      <c r="D603" s="2" t="n">
        <v>0.075778</v>
      </c>
      <c r="E603" s="2" t="n">
        <v>0.073739</v>
      </c>
      <c r="G603" s="2" t="n">
        <v>0.076128</v>
      </c>
      <c r="H603" s="2" t="n">
        <v>0.072784</v>
      </c>
    </row>
    <row r="604">
      <c r="D604" s="2" t="n">
        <v>0.07670299999999999</v>
      </c>
      <c r="E604" s="2" t="n">
        <v>0.074992</v>
      </c>
      <c r="G604" s="2" t="n">
        <v>0.07506699999999999</v>
      </c>
      <c r="H604" s="2" t="n">
        <v>0.07241400000000001</v>
      </c>
    </row>
    <row r="605">
      <c r="D605" s="2" t="n">
        <v>0.077087</v>
      </c>
      <c r="E605" s="2" t="n">
        <v>0.075769</v>
      </c>
      <c r="G605" s="2" t="n">
        <v>0.075862</v>
      </c>
      <c r="H605" s="2" t="n">
        <v>0.07259599999999999</v>
      </c>
    </row>
    <row r="606">
      <c r="D606" s="2" t="n">
        <v>0.078454</v>
      </c>
      <c r="E606" s="2" t="n">
        <v>0.07763299999999999</v>
      </c>
      <c r="G606" s="2" t="n">
        <v>0.076973</v>
      </c>
      <c r="H606" s="2" t="n">
        <v>0.073626</v>
      </c>
    </row>
    <row r="607">
      <c r="D607" s="2" t="n">
        <v>0.074963</v>
      </c>
      <c r="E607" s="2" t="n">
        <v>0.072921</v>
      </c>
      <c r="G607" s="2" t="n">
        <v>0.08071</v>
      </c>
      <c r="H607" s="2" t="n">
        <v>0.078611</v>
      </c>
    </row>
    <row r="608">
      <c r="D608" s="2" t="n">
        <v>0.082816</v>
      </c>
      <c r="E608" s="2" t="n">
        <v>0.080984</v>
      </c>
      <c r="G608" s="2" t="n">
        <v>0.081764</v>
      </c>
      <c r="H608" s="2" t="n">
        <v>0.078391</v>
      </c>
    </row>
    <row r="609">
      <c r="D609" s="2" t="n">
        <v>0.075778</v>
      </c>
      <c r="E609" s="2" t="n">
        <v>0.07456500000000001</v>
      </c>
      <c r="G609" s="2" t="n">
        <v>0.07568800000000001</v>
      </c>
      <c r="H609" s="2" t="n">
        <v>0.07335999999999999</v>
      </c>
    </row>
    <row r="610">
      <c r="D610" s="2" t="n">
        <v>0.07718</v>
      </c>
      <c r="E610" s="2" t="n">
        <v>0.074935</v>
      </c>
      <c r="G610" s="2" t="n">
        <v>0.075876</v>
      </c>
      <c r="H610" s="2" t="n">
        <v>0.073479</v>
      </c>
    </row>
    <row r="611">
      <c r="D611" s="2" t="n">
        <v>0.075214</v>
      </c>
      <c r="E611" s="2" t="n">
        <v>0.073432</v>
      </c>
      <c r="G611" s="2" t="n">
        <v>0.075068</v>
      </c>
      <c r="H611" s="2" t="n">
        <v>0.072044</v>
      </c>
    </row>
    <row r="612">
      <c r="D612" s="2" t="n">
        <v>0.078461</v>
      </c>
      <c r="E612" s="2" t="n">
        <v>0.07625800000000001</v>
      </c>
      <c r="G612" s="2" t="n">
        <v>0.077209</v>
      </c>
      <c r="H612" s="2" t="n">
        <v>0.074876</v>
      </c>
    </row>
    <row r="613">
      <c r="D613" s="2" t="n">
        <v>0.07623000000000001</v>
      </c>
      <c r="E613" s="2" t="n">
        <v>0.07528</v>
      </c>
      <c r="G613" s="2" t="n">
        <v>0.075554</v>
      </c>
      <c r="H613" s="2" t="n">
        <v>0.072585</v>
      </c>
    </row>
    <row r="614">
      <c r="D614" s="2" t="n">
        <v>0.076247</v>
      </c>
      <c r="E614" s="2" t="n">
        <v>0.075043</v>
      </c>
      <c r="G614" s="2" t="n">
        <v>0.07466100000000001</v>
      </c>
      <c r="H614" s="2" t="n">
        <v>0.071663</v>
      </c>
    </row>
    <row r="615">
      <c r="D615" s="2" t="n">
        <v>0.07487099999999999</v>
      </c>
      <c r="E615" s="2" t="n">
        <v>0.073645</v>
      </c>
      <c r="G615" s="2" t="n">
        <v>0.076681</v>
      </c>
      <c r="H615" s="2" t="n">
        <v>0.073865</v>
      </c>
    </row>
    <row r="616">
      <c r="D616" s="2" t="n">
        <v>0.076187</v>
      </c>
      <c r="E616" s="2" t="n">
        <v>0.073826</v>
      </c>
      <c r="G616" s="2" t="n">
        <v>0.07493900000000001</v>
      </c>
      <c r="H616" s="2" t="n">
        <v>0.07213</v>
      </c>
    </row>
    <row r="617">
      <c r="D617" s="2" t="n">
        <v>0.075323</v>
      </c>
      <c r="E617" s="2" t="n">
        <v>0.073904</v>
      </c>
      <c r="G617" s="2" t="n">
        <v>0.075568</v>
      </c>
      <c r="H617" s="2" t="n">
        <v>0.072007</v>
      </c>
    </row>
    <row r="618">
      <c r="D618" s="2" t="n">
        <v>0.074785</v>
      </c>
      <c r="E618" s="2" t="n">
        <v>0.07291599999999999</v>
      </c>
      <c r="G618" s="2" t="n">
        <v>0.07500999999999999</v>
      </c>
      <c r="H618" s="2" t="n">
        <v>0.07186099999999999</v>
      </c>
    </row>
    <row r="619">
      <c r="D619" s="2" t="n">
        <v>0.07847700000000001</v>
      </c>
      <c r="E619" s="2" t="n">
        <v>0.07523199999999999</v>
      </c>
      <c r="G619" s="2" t="n">
        <v>0.07462299999999999</v>
      </c>
      <c r="H619" s="2" t="n">
        <v>0.072072</v>
      </c>
    </row>
    <row r="620">
      <c r="D620" s="2" t="n">
        <v>0.07610699999999999</v>
      </c>
      <c r="E620" s="2" t="n">
        <v>0.07471800000000001</v>
      </c>
      <c r="G620" s="2" t="n">
        <v>0.074293</v>
      </c>
      <c r="H620" s="2" t="n">
        <v>0.07269299999999999</v>
      </c>
    </row>
    <row r="621">
      <c r="D621" s="2" t="n">
        <v>0.07749399999999999</v>
      </c>
      <c r="E621" s="2" t="n">
        <v>0.07500900000000001</v>
      </c>
      <c r="G621" s="2" t="n">
        <v>0.074558</v>
      </c>
      <c r="H621" s="2" t="n">
        <v>0.07190299999999999</v>
      </c>
    </row>
    <row r="622">
      <c r="D622" s="2" t="n">
        <v>0.081652</v>
      </c>
      <c r="E622" s="2" t="n">
        <v>0.079458</v>
      </c>
      <c r="G622" s="2" t="n">
        <v>0.07682799999999999</v>
      </c>
      <c r="H622" s="2" t="n">
        <v>0.07341399999999999</v>
      </c>
    </row>
    <row r="623">
      <c r="D623" s="2" t="n">
        <v>0.07480299999999999</v>
      </c>
      <c r="E623" s="2" t="n">
        <v>0.072493</v>
      </c>
      <c r="G623" s="2" t="n">
        <v>0.07493900000000001</v>
      </c>
      <c r="H623" s="2" t="n">
        <v>0.071505</v>
      </c>
    </row>
    <row r="624">
      <c r="D624" s="2" t="n">
        <v>0.077392</v>
      </c>
      <c r="E624" s="2" t="n">
        <v>0.075589</v>
      </c>
      <c r="G624" s="2" t="n">
        <v>0.075768</v>
      </c>
      <c r="H624" s="2" t="n">
        <v>0.073088</v>
      </c>
    </row>
    <row r="625">
      <c r="D625" s="2" t="n">
        <v>0.076682</v>
      </c>
      <c r="E625" s="2" t="n">
        <v>0.075506</v>
      </c>
      <c r="G625" s="2" t="n">
        <v>0.075003</v>
      </c>
      <c r="H625" s="2" t="n">
        <v>0.07230200000000001</v>
      </c>
    </row>
    <row r="626">
      <c r="D626" s="2" t="n">
        <v>0.074822</v>
      </c>
      <c r="E626" s="2" t="n">
        <v>0.073103</v>
      </c>
      <c r="G626" s="2" t="n">
        <v>0.07428700000000001</v>
      </c>
      <c r="H626" s="2" t="n">
        <v>0.07109500000000001</v>
      </c>
    </row>
    <row r="627">
      <c r="D627" s="2" t="n">
        <v>0.074866</v>
      </c>
      <c r="E627" s="2" t="n">
        <v>0.072728</v>
      </c>
      <c r="G627" s="2" t="n">
        <v>0.075208</v>
      </c>
      <c r="H627" s="2" t="n">
        <v>0.07199999999999999</v>
      </c>
    </row>
    <row r="628">
      <c r="D628" s="2" t="n">
        <v>0.07663499999999999</v>
      </c>
      <c r="E628" s="2" t="n">
        <v>0.074113</v>
      </c>
      <c r="G628" s="2" t="n">
        <v>0.073106</v>
      </c>
      <c r="H628" s="2" t="n">
        <v>0.07129000000000001</v>
      </c>
    </row>
    <row r="629">
      <c r="D629" s="2" t="n">
        <v>0.074614</v>
      </c>
      <c r="E629" s="2" t="n">
        <v>0.07334499999999999</v>
      </c>
      <c r="G629" s="2" t="n">
        <v>0.07518900000000001</v>
      </c>
      <c r="H629" s="2" t="n">
        <v>0.071574</v>
      </c>
    </row>
    <row r="630">
      <c r="D630" s="2" t="n">
        <v>0.07537099999999999</v>
      </c>
      <c r="E630" s="2" t="n">
        <v>0.073351</v>
      </c>
      <c r="G630" s="2" t="n">
        <v>0.075445</v>
      </c>
      <c r="H630" s="2" t="n">
        <v>0.07235900000000001</v>
      </c>
    </row>
    <row r="631">
      <c r="D631" s="2" t="n">
        <v>0.076178</v>
      </c>
      <c r="E631" s="2" t="n">
        <v>0.075112</v>
      </c>
      <c r="G631" s="2" t="n">
        <v>0.07693899999999999</v>
      </c>
      <c r="H631" s="2" t="n">
        <v>0.073764</v>
      </c>
    </row>
    <row r="632">
      <c r="D632" s="2" t="n">
        <v>0.07821400000000001</v>
      </c>
      <c r="E632" s="2" t="n">
        <v>0.07588</v>
      </c>
      <c r="G632" s="2" t="n">
        <v>0.078787</v>
      </c>
      <c r="H632" s="2" t="n">
        <v>0.076096</v>
      </c>
    </row>
    <row r="633">
      <c r="D633" s="2" t="n">
        <v>0.07556</v>
      </c>
      <c r="E633" s="2" t="n">
        <v>0.074145</v>
      </c>
      <c r="G633" s="2" t="n">
        <v>0.075639</v>
      </c>
      <c r="H633" s="2" t="n">
        <v>0.072185</v>
      </c>
    </row>
    <row r="634">
      <c r="D634" s="2" t="n">
        <v>0.07477399999999999</v>
      </c>
      <c r="E634" s="2" t="n">
        <v>0.072452</v>
      </c>
      <c r="G634" s="2" t="n">
        <v>0.073904</v>
      </c>
      <c r="H634" s="2" t="n">
        <v>0.07095700000000001</v>
      </c>
    </row>
    <row r="635">
      <c r="D635" s="2" t="n">
        <v>0.07594099999999999</v>
      </c>
      <c r="E635" s="2" t="n">
        <v>0.074502</v>
      </c>
      <c r="G635" s="2" t="n">
        <v>0.073854</v>
      </c>
      <c r="H635" s="2" t="n">
        <v>0.07122000000000001</v>
      </c>
    </row>
    <row r="636">
      <c r="D636" s="2" t="n">
        <v>0.075005</v>
      </c>
      <c r="E636" s="2" t="n">
        <v>0.073381</v>
      </c>
      <c r="G636" s="2" t="n">
        <v>0.074655</v>
      </c>
      <c r="H636" s="2" t="n">
        <v>0.070921</v>
      </c>
    </row>
    <row r="637">
      <c r="D637" s="2" t="n">
        <v>0.07517799999999999</v>
      </c>
      <c r="E637" s="2" t="n">
        <v>0.073117</v>
      </c>
      <c r="G637" s="2" t="n">
        <v>0.07639700000000001</v>
      </c>
      <c r="H637" s="2" t="n">
        <v>0.073071</v>
      </c>
    </row>
    <row r="638">
      <c r="D638" s="2" t="n">
        <v>0.07524</v>
      </c>
      <c r="E638" s="2" t="n">
        <v>0.073333</v>
      </c>
      <c r="G638" s="2" t="n">
        <v>0.07667499999999999</v>
      </c>
      <c r="H638" s="2" t="n">
        <v>0.074265</v>
      </c>
    </row>
    <row r="639">
      <c r="D639" s="2" t="n">
        <v>0.075348</v>
      </c>
      <c r="E639" s="2" t="n">
        <v>0.073042</v>
      </c>
      <c r="G639" s="2" t="n">
        <v>0.07648199999999999</v>
      </c>
      <c r="H639" s="2" t="n">
        <v>0.073309</v>
      </c>
    </row>
    <row r="640">
      <c r="D640" s="2" t="n">
        <v>0.076866</v>
      </c>
      <c r="E640" s="2" t="n">
        <v>0.074862</v>
      </c>
      <c r="G640" s="2" t="n">
        <v>0.074424</v>
      </c>
      <c r="H640" s="2" t="n">
        <v>0.072079</v>
      </c>
    </row>
    <row r="641">
      <c r="D641" s="2" t="n">
        <v>0.076349</v>
      </c>
      <c r="E641" s="2" t="n">
        <v>0.07448</v>
      </c>
      <c r="G641" s="2" t="n">
        <v>0.079164</v>
      </c>
      <c r="H641" s="2" t="n">
        <v>0.07685</v>
      </c>
    </row>
    <row r="642">
      <c r="D642" s="2" t="n">
        <v>0.076527</v>
      </c>
      <c r="E642" s="2" t="n">
        <v>0.074423</v>
      </c>
      <c r="G642" s="2" t="n">
        <v>0.076656</v>
      </c>
      <c r="H642" s="2" t="n">
        <v>0.074007</v>
      </c>
    </row>
    <row r="643">
      <c r="D643" s="2" t="n">
        <v>0.074952</v>
      </c>
      <c r="E643" s="2" t="n">
        <v>0.07414999999999999</v>
      </c>
      <c r="G643" s="2" t="n">
        <v>0.073855</v>
      </c>
      <c r="H643" s="2" t="n">
        <v>0.07016799999999999</v>
      </c>
    </row>
    <row r="644">
      <c r="D644" s="2" t="n">
        <v>0.074712</v>
      </c>
      <c r="E644" s="2" t="n">
        <v>0.072909</v>
      </c>
      <c r="G644" s="2" t="n">
        <v>0.074876</v>
      </c>
      <c r="H644" s="2" t="n">
        <v>0.071381</v>
      </c>
    </row>
    <row r="645">
      <c r="D645" s="2" t="n">
        <v>0.07972600000000001</v>
      </c>
      <c r="E645" s="2" t="n">
        <v>0.07823099999999999</v>
      </c>
      <c r="G645" s="2" t="n">
        <v>0.075238</v>
      </c>
      <c r="H645" s="2" t="n">
        <v>0.07252500000000001</v>
      </c>
    </row>
    <row r="646">
      <c r="D646" s="2" t="n">
        <v>0.07541399999999999</v>
      </c>
      <c r="E646" s="2" t="n">
        <v>0.07439</v>
      </c>
      <c r="G646" s="2" t="n">
        <v>0.074157</v>
      </c>
      <c r="H646" s="2" t="n">
        <v>0.071742</v>
      </c>
    </row>
    <row r="647">
      <c r="D647" s="2" t="n">
        <v>0.074167</v>
      </c>
      <c r="E647" s="2" t="n">
        <v>0.072861</v>
      </c>
      <c r="G647" s="2" t="n">
        <v>0.073823</v>
      </c>
      <c r="H647" s="2" t="n">
        <v>0.070414</v>
      </c>
    </row>
    <row r="648">
      <c r="D648" s="2" t="n">
        <v>0.074458</v>
      </c>
      <c r="E648" s="2" t="n">
        <v>0.072986</v>
      </c>
      <c r="G648" s="2" t="n">
        <v>0.074707</v>
      </c>
      <c r="H648" s="2" t="n">
        <v>0.072421</v>
      </c>
    </row>
    <row r="649">
      <c r="D649" s="2" t="n">
        <v>0.075429</v>
      </c>
      <c r="E649" s="2" t="n">
        <v>0.07328</v>
      </c>
      <c r="G649" s="2" t="n">
        <v>0.074534</v>
      </c>
      <c r="H649" s="2" t="n">
        <v>0.07127699999999999</v>
      </c>
    </row>
    <row r="650">
      <c r="D650" s="2" t="n">
        <v>0.074945</v>
      </c>
      <c r="E650" s="2" t="n">
        <v>0.073255</v>
      </c>
      <c r="G650" s="2" t="n">
        <v>0.075085</v>
      </c>
      <c r="H650" s="2" t="n">
        <v>0.071723</v>
      </c>
    </row>
    <row r="651">
      <c r="D651" s="2" t="n">
        <v>0.076852</v>
      </c>
      <c r="E651" s="2" t="n">
        <v>0.074753</v>
      </c>
      <c r="G651" s="2" t="n">
        <v>0.074668</v>
      </c>
      <c r="H651" s="2" t="n">
        <v>0.071687</v>
      </c>
    </row>
    <row r="652">
      <c r="D652" s="2" t="n">
        <v>0.07505299999999999</v>
      </c>
      <c r="E652" s="2" t="n">
        <v>0.072592</v>
      </c>
      <c r="G652" s="2" t="n">
        <v>0.074562</v>
      </c>
      <c r="H652" s="2" t="n">
        <v>0.071799</v>
      </c>
    </row>
    <row r="653">
      <c r="D653" s="2" t="n">
        <v>0.075194</v>
      </c>
      <c r="E653" s="2" t="n">
        <v>0.074216</v>
      </c>
      <c r="G653" s="2" t="n">
        <v>0.07595300000000001</v>
      </c>
      <c r="H653" s="2" t="n">
        <v>0.072079</v>
      </c>
    </row>
    <row r="654">
      <c r="D654" s="2" t="n">
        <v>0.074749</v>
      </c>
      <c r="E654" s="2" t="n">
        <v>0.07230200000000001</v>
      </c>
      <c r="G654" s="2" t="n">
        <v>0.07474600000000001</v>
      </c>
      <c r="H654" s="2" t="n">
        <v>0.071642</v>
      </c>
    </row>
    <row r="655">
      <c r="D655" s="2" t="n">
        <v>0.07699300000000001</v>
      </c>
      <c r="E655" s="2" t="n">
        <v>0.07480199999999999</v>
      </c>
      <c r="G655" s="2" t="n">
        <v>0.073546</v>
      </c>
      <c r="H655" s="2" t="n">
        <v>0.070649</v>
      </c>
    </row>
    <row r="656">
      <c r="D656" s="2" t="n">
        <v>0.07428700000000001</v>
      </c>
      <c r="E656" s="2" t="n">
        <v>0.072851</v>
      </c>
      <c r="G656" s="2" t="n">
        <v>0.074908</v>
      </c>
      <c r="H656" s="2" t="n">
        <v>0.071739</v>
      </c>
    </row>
    <row r="657">
      <c r="D657" s="2" t="n">
        <v>0.074208</v>
      </c>
      <c r="E657" s="2" t="n">
        <v>0.07201100000000001</v>
      </c>
      <c r="G657" s="2" t="n">
        <v>0.07445</v>
      </c>
      <c r="H657" s="2" t="n">
        <v>0.071113</v>
      </c>
    </row>
    <row r="658">
      <c r="D658" s="2" t="n">
        <v>0.075211</v>
      </c>
      <c r="E658" s="2" t="n">
        <v>0.07330299999999999</v>
      </c>
      <c r="G658" s="2" t="n">
        <v>0.075987</v>
      </c>
      <c r="H658" s="2" t="n">
        <v>0.072768</v>
      </c>
    </row>
    <row r="659">
      <c r="D659" s="2" t="n">
        <v>0.074584</v>
      </c>
      <c r="E659" s="2" t="n">
        <v>0.072559</v>
      </c>
      <c r="G659" s="2" t="n">
        <v>0.073717</v>
      </c>
      <c r="H659" s="2" t="n">
        <v>0.07092900000000001</v>
      </c>
    </row>
    <row r="660">
      <c r="D660" s="2" t="n">
        <v>0.075846</v>
      </c>
      <c r="E660" s="2" t="n">
        <v>0.07331</v>
      </c>
      <c r="G660" s="2" t="n">
        <v>0.073888</v>
      </c>
      <c r="H660" s="2" t="n">
        <v>0.070781</v>
      </c>
    </row>
    <row r="661">
      <c r="D661" s="2" t="n">
        <v>0.07602399999999999</v>
      </c>
      <c r="E661" s="2" t="n">
        <v>0.074776</v>
      </c>
      <c r="G661" s="2" t="n">
        <v>0.074072</v>
      </c>
      <c r="H661" s="2" t="n">
        <v>0.07109600000000001</v>
      </c>
    </row>
    <row r="662">
      <c r="D662" s="2" t="n">
        <v>0.07582</v>
      </c>
      <c r="E662" s="2" t="n">
        <v>0.07435700000000001</v>
      </c>
      <c r="G662" s="2" t="n">
        <v>0.073278</v>
      </c>
      <c r="H662" s="2" t="n">
        <v>0.070559</v>
      </c>
    </row>
    <row r="663">
      <c r="D663" s="2" t="n">
        <v>0.07466100000000001</v>
      </c>
      <c r="E663" s="2" t="n">
        <v>0.07309</v>
      </c>
      <c r="G663" s="2" t="n">
        <v>0.07337399999999999</v>
      </c>
      <c r="H663" s="2" t="n">
        <v>0.07022299999999999</v>
      </c>
    </row>
    <row r="664">
      <c r="D664" s="2" t="n">
        <v>0.07448299999999999</v>
      </c>
      <c r="E664" s="2" t="n">
        <v>0.07267</v>
      </c>
      <c r="G664" s="2" t="n">
        <v>0.07488499999999999</v>
      </c>
      <c r="H664" s="2" t="n">
        <v>0.07155300000000001</v>
      </c>
    </row>
    <row r="665">
      <c r="D665" s="2" t="n">
        <v>0.074938</v>
      </c>
      <c r="E665" s="2" t="n">
        <v>0.07266300000000001</v>
      </c>
      <c r="G665" s="2" t="n">
        <v>0.073978</v>
      </c>
      <c r="H665" s="2" t="n">
        <v>0.071464</v>
      </c>
    </row>
    <row r="666">
      <c r="D666" s="2" t="n">
        <v>0.074189</v>
      </c>
      <c r="E666" s="2" t="n">
        <v>0.07199800000000001</v>
      </c>
      <c r="G666" s="2" t="n">
        <v>0.073028</v>
      </c>
      <c r="H666" s="2" t="n">
        <v>0.069885</v>
      </c>
    </row>
    <row r="667">
      <c r="D667" s="2" t="n">
        <v>0.074278</v>
      </c>
      <c r="E667" s="2" t="n">
        <v>0.072251</v>
      </c>
      <c r="G667" s="2" t="n">
        <v>0.073745</v>
      </c>
      <c r="H667" s="2" t="n">
        <v>0.07047299999999999</v>
      </c>
    </row>
    <row r="668">
      <c r="D668" s="2" t="n">
        <v>0.075706</v>
      </c>
      <c r="E668" s="2" t="n">
        <v>0.073828</v>
      </c>
      <c r="G668" s="2" t="n">
        <v>0.074169</v>
      </c>
      <c r="H668" s="2" t="n">
        <v>0.071062</v>
      </c>
    </row>
    <row r="669">
      <c r="D669" s="2" t="n">
        <v>0.074254</v>
      </c>
      <c r="E669" s="2" t="n">
        <v>0.072921</v>
      </c>
      <c r="G669" s="2" t="n">
        <v>0.075498</v>
      </c>
      <c r="H669" s="2" t="n">
        <v>0.072239</v>
      </c>
    </row>
    <row r="670">
      <c r="D670" s="2" t="n">
        <v>0.07491</v>
      </c>
      <c r="E670" s="2" t="n">
        <v>0.07339900000000001</v>
      </c>
      <c r="G670" s="2" t="n">
        <v>0.073148</v>
      </c>
      <c r="H670" s="2" t="n">
        <v>0.069565</v>
      </c>
    </row>
    <row r="671">
      <c r="D671" s="2" t="n">
        <v>0.073475</v>
      </c>
      <c r="E671" s="2" t="n">
        <v>0.07130400000000001</v>
      </c>
      <c r="G671" s="2" t="n">
        <v>0.08096399999999999</v>
      </c>
      <c r="H671" s="2" t="n">
        <v>0.077012</v>
      </c>
    </row>
    <row r="672">
      <c r="D672" s="2" t="n">
        <v>0.075416</v>
      </c>
      <c r="E672" s="2" t="n">
        <v>0.074838</v>
      </c>
      <c r="G672" s="2" t="n">
        <v>0.073446</v>
      </c>
      <c r="H672" s="2" t="n">
        <v>0.070809</v>
      </c>
    </row>
    <row r="673">
      <c r="D673" s="2" t="n">
        <v>0.07409399999999999</v>
      </c>
      <c r="E673" s="2" t="n">
        <v>0.071973</v>
      </c>
      <c r="G673" s="2" t="n">
        <v>0.074846</v>
      </c>
      <c r="H673" s="2" t="n">
        <v>0.071501</v>
      </c>
    </row>
    <row r="674">
      <c r="D674" s="2" t="n">
        <v>0.074882</v>
      </c>
      <c r="E674" s="2" t="n">
        <v>0.072905</v>
      </c>
      <c r="G674" s="2" t="n">
        <v>0.07410799999999999</v>
      </c>
      <c r="H674" s="2" t="n">
        <v>0.072158</v>
      </c>
    </row>
    <row r="675">
      <c r="D675" s="2" t="n">
        <v>0.07413599999999999</v>
      </c>
      <c r="E675" s="2" t="n">
        <v>0.07237</v>
      </c>
      <c r="G675" s="2" t="n">
        <v>0.07345400000000001</v>
      </c>
      <c r="H675" s="2" t="n">
        <v>0.06988</v>
      </c>
    </row>
    <row r="676">
      <c r="D676" s="2" t="n">
        <v>0.074118</v>
      </c>
      <c r="E676" s="2" t="n">
        <v>0.072351</v>
      </c>
      <c r="G676" s="2" t="n">
        <v>0.07344299999999999</v>
      </c>
      <c r="H676" s="2" t="n">
        <v>0.069822</v>
      </c>
    </row>
    <row r="677">
      <c r="D677" s="2" t="n">
        <v>0.074077</v>
      </c>
      <c r="E677" s="2" t="n">
        <v>0.07234500000000001</v>
      </c>
      <c r="G677" s="2" t="n">
        <v>0.072864</v>
      </c>
      <c r="H677" s="2" t="n">
        <v>0.069711</v>
      </c>
    </row>
    <row r="678">
      <c r="D678" s="2" t="n">
        <v>0.074174</v>
      </c>
      <c r="E678" s="2" t="n">
        <v>0.072892</v>
      </c>
      <c r="G678" s="2" t="n">
        <v>0.073129</v>
      </c>
      <c r="H678" s="2" t="n">
        <v>0.07023600000000001</v>
      </c>
    </row>
    <row r="679">
      <c r="D679" s="2" t="n">
        <v>0.074681</v>
      </c>
      <c r="E679" s="2" t="n">
        <v>0.072854</v>
      </c>
      <c r="G679" s="2" t="n">
        <v>0.073057</v>
      </c>
      <c r="H679" s="2" t="n">
        <v>0.069742</v>
      </c>
    </row>
    <row r="680">
      <c r="D680" s="2" t="n">
        <v>0.07344100000000001</v>
      </c>
      <c r="E680" s="2" t="n">
        <v>0.071497</v>
      </c>
      <c r="G680" s="2" t="n">
        <v>0.072973</v>
      </c>
      <c r="H680" s="2" t="n">
        <v>0.070812</v>
      </c>
    </row>
    <row r="681">
      <c r="D681" s="2" t="n">
        <v>0.075618</v>
      </c>
      <c r="E681" s="2" t="n">
        <v>0.07321</v>
      </c>
      <c r="G681" s="2" t="n">
        <v>0.075251</v>
      </c>
      <c r="H681" s="2" t="n">
        <v>0.07238600000000001</v>
      </c>
    </row>
    <row r="682">
      <c r="D682" s="2" t="n">
        <v>0.075831</v>
      </c>
      <c r="E682" s="2" t="n">
        <v>0.07378800000000001</v>
      </c>
      <c r="G682" s="2" t="n">
        <v>0.072894</v>
      </c>
      <c r="H682" s="2" t="n">
        <v>0.069536</v>
      </c>
    </row>
    <row r="683">
      <c r="D683" s="2" t="n">
        <v>0.075043</v>
      </c>
      <c r="E683" s="2" t="n">
        <v>0.073231</v>
      </c>
      <c r="G683" s="2" t="n">
        <v>0.074015</v>
      </c>
      <c r="H683" s="2" t="n">
        <v>0.070716</v>
      </c>
    </row>
    <row r="684">
      <c r="D684" s="2" t="n">
        <v>0.073627</v>
      </c>
      <c r="E684" s="2" t="n">
        <v>0.07139</v>
      </c>
      <c r="G684" s="2" t="n">
        <v>0.073541</v>
      </c>
      <c r="H684" s="2" t="n">
        <v>0.070649</v>
      </c>
    </row>
    <row r="685">
      <c r="D685" s="2" t="n">
        <v>0.073465</v>
      </c>
      <c r="E685" s="2" t="n">
        <v>0.07170899999999999</v>
      </c>
      <c r="G685" s="2" t="n">
        <v>0.073972</v>
      </c>
      <c r="H685" s="2" t="n">
        <v>0.071197</v>
      </c>
    </row>
    <row r="686">
      <c r="D686" s="2" t="n">
        <v>0.073675</v>
      </c>
      <c r="E686" s="2" t="n">
        <v>0.071946</v>
      </c>
      <c r="G686" s="2" t="n">
        <v>0.073199</v>
      </c>
      <c r="H686" s="2" t="n">
        <v>0.06998600000000001</v>
      </c>
    </row>
    <row r="687">
      <c r="D687" s="2" t="n">
        <v>0.07458099999999999</v>
      </c>
      <c r="E687" s="2" t="n">
        <v>0.07305399999999999</v>
      </c>
      <c r="G687" s="2" t="n">
        <v>0.073819</v>
      </c>
      <c r="H687" s="2" t="n">
        <v>0.07008399999999999</v>
      </c>
    </row>
    <row r="688">
      <c r="D688" s="2" t="n">
        <v>0.073562</v>
      </c>
      <c r="E688" s="2" t="n">
        <v>0.072086</v>
      </c>
      <c r="G688" s="2" t="n">
        <v>0.073535</v>
      </c>
      <c r="H688" s="2" t="n">
        <v>0.070257</v>
      </c>
    </row>
    <row r="689">
      <c r="D689" s="2" t="n">
        <v>0.073851</v>
      </c>
      <c r="E689" s="2" t="n">
        <v>0.072144</v>
      </c>
      <c r="G689" s="2" t="n">
        <v>0.074644</v>
      </c>
      <c r="H689" s="2" t="n">
        <v>0.07202799999999999</v>
      </c>
    </row>
    <row r="690">
      <c r="D690" s="2" t="n">
        <v>0.07535600000000001</v>
      </c>
      <c r="E690" s="2" t="n">
        <v>0.072725</v>
      </c>
      <c r="G690" s="2" t="n">
        <v>0.073742</v>
      </c>
      <c r="H690" s="2" t="n">
        <v>0.07051499999999999</v>
      </c>
    </row>
    <row r="691">
      <c r="D691" s="2" t="n">
        <v>0.073602</v>
      </c>
      <c r="E691" s="2" t="n">
        <v>0.071899</v>
      </c>
      <c r="G691" s="2" t="n">
        <v>0.072756</v>
      </c>
      <c r="H691" s="2" t="n">
        <v>0.06985</v>
      </c>
    </row>
    <row r="692">
      <c r="D692" s="2" t="n">
        <v>0.074166</v>
      </c>
      <c r="E692" s="2" t="n">
        <v>0.071936</v>
      </c>
      <c r="G692" s="2" t="n">
        <v>0.074832</v>
      </c>
      <c r="H692" s="2" t="n">
        <v>0.07194</v>
      </c>
    </row>
    <row r="693">
      <c r="D693" s="2" t="n">
        <v>0.07384499999999999</v>
      </c>
      <c r="E693" s="2" t="n">
        <v>0.07208000000000001</v>
      </c>
      <c r="G693" s="2" t="n">
        <v>0.072897</v>
      </c>
      <c r="H693" s="2" t="n">
        <v>0.069941</v>
      </c>
    </row>
    <row r="694">
      <c r="D694" s="2" t="n">
        <v>0.07553799999999999</v>
      </c>
      <c r="E694" s="2" t="n">
        <v>0.073073</v>
      </c>
      <c r="G694" s="2" t="n">
        <v>0.073334</v>
      </c>
      <c r="H694" s="2" t="n">
        <v>0.07016600000000001</v>
      </c>
    </row>
    <row r="695">
      <c r="D695" s="2" t="n">
        <v>0.074215</v>
      </c>
      <c r="E695" s="2" t="n">
        <v>0.07206899999999999</v>
      </c>
      <c r="G695" s="2" t="n">
        <v>0.07362299999999999</v>
      </c>
      <c r="H695" s="2" t="n">
        <v>0.070087</v>
      </c>
    </row>
    <row r="696">
      <c r="D696" s="2" t="n">
        <v>0.072977</v>
      </c>
      <c r="E696" s="2" t="n">
        <v>0.071421</v>
      </c>
      <c r="G696" s="2" t="n">
        <v>0.073618</v>
      </c>
      <c r="H696" s="2" t="n">
        <v>0.07100099999999999</v>
      </c>
    </row>
    <row r="697">
      <c r="D697" s="2" t="n">
        <v>0.074173</v>
      </c>
      <c r="E697" s="2" t="n">
        <v>0.07192900000000001</v>
      </c>
      <c r="G697" s="2" t="n">
        <v>0.072924</v>
      </c>
      <c r="H697" s="2" t="n">
        <v>0.069535</v>
      </c>
    </row>
    <row r="698">
      <c r="D698" s="2" t="n">
        <v>0.07380399999999999</v>
      </c>
      <c r="E698" s="2" t="n">
        <v>0.07131999999999999</v>
      </c>
      <c r="G698" s="2" t="n">
        <v>0.074193</v>
      </c>
      <c r="H698" s="2" t="n">
        <v>0.071966</v>
      </c>
    </row>
    <row r="699">
      <c r="D699" s="2" t="n">
        <v>0.074305</v>
      </c>
      <c r="E699" s="2" t="n">
        <v>0.07185900000000001</v>
      </c>
      <c r="G699" s="2" t="n">
        <v>0.07262</v>
      </c>
      <c r="H699" s="2" t="n">
        <v>0.069411</v>
      </c>
    </row>
    <row r="700">
      <c r="D700" s="2" t="n">
        <v>0.073306</v>
      </c>
      <c r="E700" s="2" t="n">
        <v>0.071229</v>
      </c>
      <c r="G700" s="2" t="n">
        <v>0.07291300000000001</v>
      </c>
      <c r="H700" s="2" t="n">
        <v>0.069658</v>
      </c>
    </row>
    <row r="701">
      <c r="D701" s="2" t="n">
        <v>0.073938</v>
      </c>
      <c r="E701" s="2" t="n">
        <v>0.072023</v>
      </c>
      <c r="G701" s="2" t="n">
        <v>0.07406500000000001</v>
      </c>
      <c r="H701" s="2" t="n">
        <v>0.070951</v>
      </c>
    </row>
    <row r="702">
      <c r="D702" s="2" t="n">
        <v>0.07421700000000001</v>
      </c>
      <c r="E702" s="2" t="n">
        <v>0.07197000000000001</v>
      </c>
      <c r="G702" s="2" t="n">
        <v>0.073208</v>
      </c>
      <c r="H702" s="2" t="n">
        <v>0.07001300000000001</v>
      </c>
    </row>
    <row r="703">
      <c r="D703" s="2" t="n">
        <v>0.07298499999999999</v>
      </c>
      <c r="E703" s="2" t="n">
        <v>0.071544</v>
      </c>
      <c r="G703" s="2" t="n">
        <v>0.074557</v>
      </c>
      <c r="H703" s="2" t="n">
        <v>0.07106</v>
      </c>
    </row>
    <row r="704">
      <c r="D704" s="2" t="n">
        <v>0.073008</v>
      </c>
      <c r="E704" s="2" t="n">
        <v>0.071243</v>
      </c>
      <c r="G704" s="2" t="n">
        <v>0.073334</v>
      </c>
      <c r="H704" s="2" t="n">
        <v>0.070252</v>
      </c>
    </row>
    <row r="705">
      <c r="D705" s="2" t="n">
        <v>0.073612</v>
      </c>
      <c r="E705" s="2" t="n">
        <v>0.07195500000000001</v>
      </c>
      <c r="G705" s="2" t="n">
        <v>0.07364900000000001</v>
      </c>
      <c r="H705" s="2" t="n">
        <v>0.069688</v>
      </c>
    </row>
    <row r="706">
      <c r="D706" s="2" t="n">
        <v>0.074249</v>
      </c>
      <c r="E706" s="2" t="n">
        <v>0.071787</v>
      </c>
      <c r="G706" s="2" t="n">
        <v>0.072967</v>
      </c>
      <c r="H706" s="2" t="n">
        <v>0.06997100000000001</v>
      </c>
    </row>
    <row r="707">
      <c r="D707" s="2" t="n">
        <v>0.073513</v>
      </c>
      <c r="E707" s="2" t="n">
        <v>0.071663</v>
      </c>
      <c r="G707" s="2" t="n">
        <v>0.07374699999999999</v>
      </c>
      <c r="H707" s="2" t="n">
        <v>0.07133399999999999</v>
      </c>
    </row>
    <row r="708">
      <c r="D708" s="2" t="n">
        <v>0.07399500000000001</v>
      </c>
      <c r="E708" s="2" t="n">
        <v>0.07209</v>
      </c>
      <c r="G708" s="2" t="n">
        <v>0.07378899999999999</v>
      </c>
      <c r="H708" s="2" t="n">
        <v>0.07143099999999999</v>
      </c>
    </row>
    <row r="709">
      <c r="D709" s="2" t="n">
        <v>0.073891</v>
      </c>
      <c r="E709" s="2" t="n">
        <v>0.071704</v>
      </c>
      <c r="G709" s="2" t="n">
        <v>0.072842</v>
      </c>
      <c r="H709" s="2" t="n">
        <v>0.06993099999999999</v>
      </c>
    </row>
    <row r="710">
      <c r="D710" s="2" t="n">
        <v>0.074182</v>
      </c>
      <c r="E710" s="2" t="n">
        <v>0.07195600000000001</v>
      </c>
      <c r="G710" s="2" t="n">
        <v>0.073256</v>
      </c>
      <c r="H710" s="2" t="n">
        <v>0.070173</v>
      </c>
    </row>
    <row r="711">
      <c r="D711" s="2" t="n">
        <v>0.073335</v>
      </c>
      <c r="E711" s="2" t="n">
        <v>0.071592</v>
      </c>
      <c r="G711" s="2" t="n">
        <v>0.072629</v>
      </c>
      <c r="H711" s="2" t="n">
        <v>0.069233</v>
      </c>
    </row>
    <row r="712">
      <c r="D712" s="2" t="n">
        <v>0.07323200000000001</v>
      </c>
      <c r="E712" s="2" t="n">
        <v>0.071517</v>
      </c>
      <c r="G712" s="2" t="n">
        <v>0.073047</v>
      </c>
      <c r="H712" s="2" t="n">
        <v>0.070005</v>
      </c>
    </row>
    <row r="713">
      <c r="D713" s="2" t="n">
        <v>0.07353899999999999</v>
      </c>
      <c r="E713" s="2" t="n">
        <v>0.071702</v>
      </c>
      <c r="G713" s="2" t="n">
        <v>0.07277400000000001</v>
      </c>
      <c r="H713" s="2" t="n">
        <v>0.069562</v>
      </c>
    </row>
    <row r="714">
      <c r="D714" s="2" t="n">
        <v>0.07346</v>
      </c>
      <c r="E714" s="2" t="n">
        <v>0.071802</v>
      </c>
      <c r="G714" s="2" t="n">
        <v>0.072898</v>
      </c>
      <c r="H714" s="2" t="n">
        <v>0.06945900000000001</v>
      </c>
    </row>
    <row r="715">
      <c r="D715" s="2" t="n">
        <v>0.07310800000000001</v>
      </c>
      <c r="E715" s="2" t="n">
        <v>0.07109500000000001</v>
      </c>
      <c r="G715" s="2" t="n">
        <v>0.071933</v>
      </c>
      <c r="H715" s="2" t="n">
        <v>0.069443</v>
      </c>
    </row>
    <row r="716">
      <c r="D716" s="2" t="n">
        <v>0.073479</v>
      </c>
      <c r="E716" s="2" t="n">
        <v>0.071687</v>
      </c>
      <c r="G716" s="2" t="n">
        <v>0.072119</v>
      </c>
      <c r="H716" s="2" t="n">
        <v>0.069021</v>
      </c>
    </row>
    <row r="717">
      <c r="D717" s="2" t="n">
        <v>0.073125</v>
      </c>
      <c r="E717" s="2" t="n">
        <v>0.071295</v>
      </c>
      <c r="G717" s="2" t="n">
        <v>0.072837</v>
      </c>
      <c r="H717" s="2" t="n">
        <v>0.07009899999999999</v>
      </c>
    </row>
    <row r="718">
      <c r="D718" s="2" t="n">
        <v>0.073545</v>
      </c>
      <c r="E718" s="2" t="n">
        <v>0.07184500000000001</v>
      </c>
      <c r="G718" s="2" t="n">
        <v>0.07306600000000001</v>
      </c>
      <c r="H718" s="2" t="n">
        <v>0.069947</v>
      </c>
    </row>
    <row r="719">
      <c r="D719" s="2" t="n">
        <v>0.07357</v>
      </c>
      <c r="E719" s="2" t="n">
        <v>0.07137400000000001</v>
      </c>
      <c r="G719" s="2" t="n">
        <v>0.07259</v>
      </c>
      <c r="H719" s="2" t="n">
        <v>0.069748</v>
      </c>
    </row>
    <row r="720">
      <c r="D720" s="2" t="n">
        <v>0.073071</v>
      </c>
      <c r="E720" s="2" t="n">
        <v>0.071494</v>
      </c>
      <c r="G720" s="2" t="n">
        <v>0.07251000000000001</v>
      </c>
      <c r="H720" s="2" t="n">
        <v>0.069189</v>
      </c>
    </row>
    <row r="721">
      <c r="D721" s="2" t="n">
        <v>0.073699</v>
      </c>
      <c r="E721" s="2" t="n">
        <v>0.071668</v>
      </c>
      <c r="G721" s="2" t="n">
        <v>0.072655</v>
      </c>
      <c r="H721" s="2" t="n">
        <v>0.06926300000000001</v>
      </c>
    </row>
    <row r="722">
      <c r="D722" s="2" t="n">
        <v>0.073792</v>
      </c>
      <c r="E722" s="2" t="n">
        <v>0.071549</v>
      </c>
      <c r="G722" s="2" t="n">
        <v>0.073407</v>
      </c>
      <c r="H722" s="2" t="n">
        <v>0.070503</v>
      </c>
    </row>
    <row r="723">
      <c r="D723" s="2" t="n">
        <v>0.07384400000000001</v>
      </c>
      <c r="E723" s="2" t="n">
        <v>0.071268</v>
      </c>
      <c r="G723" s="2" t="n">
        <v>0.072557</v>
      </c>
      <c r="H723" s="2" t="n">
        <v>0.069756</v>
      </c>
    </row>
    <row r="724">
      <c r="D724" s="2" t="n">
        <v>0.072801</v>
      </c>
      <c r="E724" s="2" t="n">
        <v>0.071077</v>
      </c>
      <c r="G724" s="2" t="n">
        <v>0.07280300000000001</v>
      </c>
      <c r="H724" s="2" t="n">
        <v>0.070174</v>
      </c>
    </row>
    <row r="725">
      <c r="D725" s="2" t="n">
        <v>0.073227</v>
      </c>
      <c r="E725" s="2" t="n">
        <v>0.071397</v>
      </c>
      <c r="G725" s="2" t="n">
        <v>0.072945</v>
      </c>
      <c r="H725" s="2" t="n">
        <v>0.069504</v>
      </c>
    </row>
    <row r="726">
      <c r="D726" s="2" t="n">
        <v>0.072725</v>
      </c>
      <c r="E726" s="2" t="n">
        <v>0.070932</v>
      </c>
      <c r="G726" s="2" t="n">
        <v>0.07294200000000001</v>
      </c>
      <c r="H726" s="2" t="n">
        <v>0.069539</v>
      </c>
    </row>
    <row r="727">
      <c r="D727" s="2" t="n">
        <v>0.073098</v>
      </c>
      <c r="E727" s="2" t="n">
        <v>0.071376</v>
      </c>
      <c r="G727" s="2" t="n">
        <v>0.072668</v>
      </c>
      <c r="H727" s="2" t="n">
        <v>0.069356</v>
      </c>
    </row>
    <row r="728">
      <c r="D728" s="2" t="n">
        <v>0.073162</v>
      </c>
      <c r="E728" s="2" t="n">
        <v>0.071135</v>
      </c>
      <c r="G728" s="2" t="n">
        <v>0.07226</v>
      </c>
      <c r="H728" s="2" t="n">
        <v>0.069202</v>
      </c>
    </row>
    <row r="729">
      <c r="D729" s="2" t="n">
        <v>0.073173</v>
      </c>
      <c r="E729" s="2" t="n">
        <v>0.07162300000000001</v>
      </c>
      <c r="G729" s="2" t="n">
        <v>0.072591</v>
      </c>
      <c r="H729" s="2" t="n">
        <v>0.069553</v>
      </c>
    </row>
    <row r="730">
      <c r="D730" s="2" t="n">
        <v>0.07291</v>
      </c>
      <c r="E730" s="2" t="n">
        <v>0.071268</v>
      </c>
      <c r="G730" s="2" t="n">
        <v>0.072669</v>
      </c>
      <c r="H730" s="2" t="n">
        <v>0.06950199999999999</v>
      </c>
    </row>
    <row r="731">
      <c r="D731" s="2" t="n">
        <v>0.072814</v>
      </c>
      <c r="E731" s="2" t="n">
        <v>0.07088899999999999</v>
      </c>
      <c r="G731" s="2" t="n">
        <v>0.072549</v>
      </c>
      <c r="H731" s="2" t="n">
        <v>0.069407</v>
      </c>
    </row>
    <row r="732">
      <c r="D732" s="2" t="n">
        <v>0.072544</v>
      </c>
      <c r="E732" s="2" t="n">
        <v>0.071328</v>
      </c>
      <c r="G732" s="2" t="n">
        <v>0.073392</v>
      </c>
      <c r="H732" s="2" t="n">
        <v>0.070253</v>
      </c>
    </row>
    <row r="733">
      <c r="D733" s="2" t="n">
        <v>0.07274</v>
      </c>
      <c r="E733" s="2" t="n">
        <v>0.071007</v>
      </c>
      <c r="G733" s="2" t="n">
        <v>0.072531</v>
      </c>
      <c r="H733" s="2" t="n">
        <v>0.06941799999999999</v>
      </c>
    </row>
    <row r="734">
      <c r="D734" s="2" t="n">
        <v>0.073172</v>
      </c>
      <c r="E734" s="2" t="n">
        <v>0.07104199999999999</v>
      </c>
      <c r="G734" s="2" t="n">
        <v>0.073244</v>
      </c>
      <c r="H734" s="2" t="n">
        <v>0.069356</v>
      </c>
    </row>
    <row r="735">
      <c r="D735" s="2" t="n">
        <v>0.073001</v>
      </c>
      <c r="E735" s="2" t="n">
        <v>0.071168</v>
      </c>
      <c r="G735" s="2" t="n">
        <v>0.07262299999999999</v>
      </c>
      <c r="H735" s="2" t="n">
        <v>0.069371</v>
      </c>
    </row>
    <row r="736">
      <c r="D736" s="2" t="n">
        <v>0.072842</v>
      </c>
      <c r="E736" s="2" t="n">
        <v>0.071185</v>
      </c>
      <c r="G736" s="2" t="n">
        <v>0.07288</v>
      </c>
      <c r="H736" s="2" t="n">
        <v>0.069256</v>
      </c>
    </row>
    <row r="737">
      <c r="D737" s="2" t="n">
        <v>0.072823</v>
      </c>
      <c r="E737" s="2" t="n">
        <v>0.071024</v>
      </c>
      <c r="G737" s="2" t="n">
        <v>0.072544</v>
      </c>
      <c r="H737" s="2" t="n">
        <v>0.06945900000000001</v>
      </c>
    </row>
    <row r="738">
      <c r="D738" s="2" t="n">
        <v>0.073779</v>
      </c>
      <c r="E738" s="2" t="n">
        <v>0.07234699999999999</v>
      </c>
      <c r="G738" s="2" t="n">
        <v>0.07215000000000001</v>
      </c>
      <c r="H738" s="2" t="n">
        <v>0.068936</v>
      </c>
    </row>
    <row r="739">
      <c r="D739" s="2" t="n">
        <v>0.073044</v>
      </c>
      <c r="E739" s="2" t="n">
        <v>0.07111000000000001</v>
      </c>
      <c r="G739" s="2" t="n">
        <v>0.07220799999999999</v>
      </c>
      <c r="H739" s="2" t="n">
        <v>0.06879</v>
      </c>
    </row>
    <row r="740">
      <c r="D740" s="2" t="n">
        <v>0.07291300000000001</v>
      </c>
      <c r="E740" s="2" t="n">
        <v>0.071321</v>
      </c>
      <c r="G740" s="2" t="n">
        <v>0.07230399999999999</v>
      </c>
      <c r="H740" s="2" t="n">
        <v>0.069076</v>
      </c>
    </row>
    <row r="741">
      <c r="D741" s="2" t="n">
        <v>0.073071</v>
      </c>
      <c r="E741" s="2" t="n">
        <v>0.071469</v>
      </c>
      <c r="G741" s="2" t="n">
        <v>0.075074</v>
      </c>
      <c r="H741" s="2" t="n">
        <v>0.07142800000000001</v>
      </c>
    </row>
    <row r="742">
      <c r="D742" s="2" t="n">
        <v>0.073036</v>
      </c>
      <c r="E742" s="2" t="n">
        <v>0.071024</v>
      </c>
      <c r="G742" s="2" t="n">
        <v>0.072505</v>
      </c>
      <c r="H742" s="2" t="n">
        <v>0.069132</v>
      </c>
    </row>
    <row r="743">
      <c r="D743" s="2" t="n">
        <v>0.072876</v>
      </c>
      <c r="E743" s="2" t="n">
        <v>0.071002</v>
      </c>
      <c r="G743" s="2" t="n">
        <v>0.07287399999999999</v>
      </c>
      <c r="H743" s="2" t="n">
        <v>0.06927800000000001</v>
      </c>
    </row>
    <row r="744">
      <c r="D744" s="2" t="n">
        <v>0.073046</v>
      </c>
      <c r="E744" s="2" t="n">
        <v>0.071141</v>
      </c>
      <c r="G744" s="2" t="n">
        <v>0.07273499999999999</v>
      </c>
      <c r="H744" s="2" t="n">
        <v>0.06986199999999999</v>
      </c>
    </row>
    <row r="745">
      <c r="D745" s="2" t="n">
        <v>0.073541</v>
      </c>
      <c r="E745" s="2" t="n">
        <v>0.07176299999999999</v>
      </c>
      <c r="G745" s="2" t="n">
        <v>0.07288</v>
      </c>
      <c r="H745" s="2" t="n">
        <v>0.07025000000000001</v>
      </c>
    </row>
    <row r="746">
      <c r="D746" s="2" t="n">
        <v>0.072667</v>
      </c>
      <c r="E746" s="2" t="n">
        <v>0.070747</v>
      </c>
      <c r="G746" s="2" t="n">
        <v>0.07226299999999999</v>
      </c>
      <c r="H746" s="2" t="n">
        <v>0.069338</v>
      </c>
    </row>
    <row r="747">
      <c r="D747" s="2" t="n">
        <v>0.073546</v>
      </c>
      <c r="E747" s="2" t="n">
        <v>0.071392</v>
      </c>
      <c r="G747" s="2" t="n">
        <v>0.07241400000000001</v>
      </c>
      <c r="H747" s="2" t="n">
        <v>0.068925</v>
      </c>
    </row>
    <row r="748">
      <c r="D748" s="2" t="n">
        <v>0.074573</v>
      </c>
      <c r="E748" s="2" t="n">
        <v>0.072545</v>
      </c>
      <c r="G748" s="2" t="n">
        <v>0.072644</v>
      </c>
      <c r="H748" s="2" t="n">
        <v>0.069477</v>
      </c>
    </row>
    <row r="749">
      <c r="D749" s="2" t="n">
        <v>0.072753</v>
      </c>
      <c r="E749" s="2" t="n">
        <v>0.070878</v>
      </c>
      <c r="G749" s="2" t="n">
        <v>0.07194200000000001</v>
      </c>
      <c r="H749" s="2" t="n">
        <v>0.06881</v>
      </c>
    </row>
    <row r="750">
      <c r="D750" s="2" t="n">
        <v>0.073156</v>
      </c>
      <c r="E750" s="2" t="n">
        <v>0.071452</v>
      </c>
      <c r="G750" s="2" t="n">
        <v>0.07339900000000001</v>
      </c>
      <c r="H750" s="2" t="n">
        <v>0.070287</v>
      </c>
    </row>
    <row r="751">
      <c r="D751" s="2" t="n">
        <v>0.073272</v>
      </c>
      <c r="E751" s="2" t="n">
        <v>0.07155400000000001</v>
      </c>
      <c r="G751" s="2" t="n">
        <v>0.072102</v>
      </c>
      <c r="H751" s="2" t="n">
        <v>0.06884800000000001</v>
      </c>
    </row>
    <row r="752">
      <c r="D752" s="2" t="n">
        <v>0.073022</v>
      </c>
      <c r="E752" s="2" t="n">
        <v>0.07105300000000001</v>
      </c>
      <c r="G752" s="2" t="n">
        <v>0.07273499999999999</v>
      </c>
      <c r="H752" s="2" t="n">
        <v>0.069184</v>
      </c>
    </row>
    <row r="753">
      <c r="D753" s="2" t="n">
        <v>0.072718</v>
      </c>
      <c r="E753" s="2" t="n">
        <v>0.07108100000000001</v>
      </c>
      <c r="G753" s="2" t="n">
        <v>0.07248400000000001</v>
      </c>
      <c r="H753" s="2" t="n">
        <v>0.068881</v>
      </c>
    </row>
    <row r="754">
      <c r="D754" s="2" t="n">
        <v>0.07309400000000001</v>
      </c>
      <c r="E754" s="2" t="n">
        <v>0.071422</v>
      </c>
      <c r="G754" s="2" t="n">
        <v>0.072491</v>
      </c>
      <c r="H754" s="2" t="n">
        <v>0.068882</v>
      </c>
    </row>
    <row r="755">
      <c r="D755" s="2" t="n">
        <v>0.072906</v>
      </c>
      <c r="E755" s="2" t="n">
        <v>0.070659</v>
      </c>
      <c r="G755" s="2" t="n">
        <v>0.07223300000000001</v>
      </c>
      <c r="H755" s="2" t="n">
        <v>0.068996</v>
      </c>
    </row>
    <row r="756">
      <c r="D756" s="2" t="n">
        <v>0.072766</v>
      </c>
      <c r="E756" s="2" t="n">
        <v>0.070544</v>
      </c>
      <c r="G756" s="2" t="n">
        <v>0.072463</v>
      </c>
      <c r="H756" s="2" t="n">
        <v>0.068853</v>
      </c>
    </row>
    <row r="757">
      <c r="D757" s="2" t="n">
        <v>0.07315000000000001</v>
      </c>
      <c r="E757" s="2" t="n">
        <v>0.071274</v>
      </c>
      <c r="G757" s="2" t="n">
        <v>0.07238799999999999</v>
      </c>
      <c r="H757" s="2" t="n">
        <v>0.069122</v>
      </c>
    </row>
    <row r="758">
      <c r="D758" s="2" t="n">
        <v>0.072626</v>
      </c>
      <c r="E758" s="2" t="n">
        <v>0.07051499999999999</v>
      </c>
      <c r="G758" s="2" t="n">
        <v>0.072154</v>
      </c>
      <c r="H758" s="2" t="n">
        <v>0.068798</v>
      </c>
    </row>
    <row r="759">
      <c r="D759" s="2" t="n">
        <v>0.072798</v>
      </c>
      <c r="E759" s="2" t="n">
        <v>0.070866</v>
      </c>
      <c r="G759" s="2" t="n">
        <v>0.071976</v>
      </c>
      <c r="H759" s="2" t="n">
        <v>0.068768</v>
      </c>
    </row>
    <row r="760">
      <c r="D760" s="2" t="n">
        <v>0.072967</v>
      </c>
      <c r="E760" s="2" t="n">
        <v>0.070692</v>
      </c>
      <c r="G760" s="2" t="n">
        <v>0.071885</v>
      </c>
      <c r="H760" s="2" t="n">
        <v>0.068635</v>
      </c>
    </row>
    <row r="761">
      <c r="D761" s="2" t="n">
        <v>0.07294399999999999</v>
      </c>
      <c r="E761" s="2" t="n">
        <v>0.07115299999999999</v>
      </c>
      <c r="G761" s="2" t="n">
        <v>0.07242999999999999</v>
      </c>
      <c r="H761" s="2" t="n">
        <v>0.069215</v>
      </c>
    </row>
    <row r="762">
      <c r="D762" s="2" t="n">
        <v>0.07414900000000001</v>
      </c>
      <c r="E762" s="2" t="n">
        <v>0.07188899999999999</v>
      </c>
      <c r="G762" s="2" t="n">
        <v>0.07284499999999999</v>
      </c>
      <c r="H762" s="2" t="n">
        <v>0.069456</v>
      </c>
    </row>
    <row r="763">
      <c r="D763" s="2" t="n">
        <v>0.07398</v>
      </c>
      <c r="E763" s="2" t="n">
        <v>0.072395</v>
      </c>
      <c r="G763" s="2" t="n">
        <v>0.07170700000000001</v>
      </c>
      <c r="H763" s="2" t="n">
        <v>0.068674</v>
      </c>
    </row>
    <row r="764">
      <c r="D764" s="2" t="n">
        <v>0.072992</v>
      </c>
      <c r="E764" s="2" t="n">
        <v>0.071133</v>
      </c>
      <c r="G764" s="2" t="n">
        <v>0.072127</v>
      </c>
      <c r="H764" s="2" t="n">
        <v>0.069148</v>
      </c>
    </row>
    <row r="765">
      <c r="D765" s="2" t="n">
        <v>0.072336</v>
      </c>
      <c r="E765" s="2" t="n">
        <v>0.070226</v>
      </c>
      <c r="G765" s="2" t="n">
        <v>0.072255</v>
      </c>
      <c r="H765" s="2" t="n">
        <v>0.068993</v>
      </c>
    </row>
    <row r="766">
      <c r="D766" s="2" t="n">
        <v>0.07319199999999999</v>
      </c>
      <c r="E766" s="2" t="n">
        <v>0.071213</v>
      </c>
      <c r="G766" s="2" t="n">
        <v>0.07221</v>
      </c>
      <c r="H766" s="2" t="n">
        <v>0.06862600000000001</v>
      </c>
    </row>
    <row r="767">
      <c r="D767" s="2" t="n">
        <v>0.072544</v>
      </c>
      <c r="E767" s="2" t="n">
        <v>0.07047200000000001</v>
      </c>
      <c r="G767" s="2" t="n">
        <v>0.07242700000000001</v>
      </c>
      <c r="H767" s="2" t="n">
        <v>0.06952899999999999</v>
      </c>
    </row>
    <row r="768">
      <c r="D768" s="2" t="n">
        <v>0.072274</v>
      </c>
      <c r="E768" s="2" t="n">
        <v>0.07043199999999999</v>
      </c>
      <c r="G768" s="2" t="n">
        <v>0.071723</v>
      </c>
      <c r="H768" s="2" t="n">
        <v>0.068573</v>
      </c>
    </row>
    <row r="769">
      <c r="D769" s="2" t="n">
        <v>0.072783</v>
      </c>
      <c r="E769" s="2" t="n">
        <v>0.07055500000000001</v>
      </c>
      <c r="G769" s="2" t="n">
        <v>0.072115</v>
      </c>
      <c r="H769" s="2" t="n">
        <v>0.068504</v>
      </c>
    </row>
    <row r="770">
      <c r="D770" s="2" t="n">
        <v>0.072368</v>
      </c>
      <c r="E770" s="2" t="n">
        <v>0.07090200000000001</v>
      </c>
      <c r="G770" s="2" t="n">
        <v>0.072315</v>
      </c>
      <c r="H770" s="2" t="n">
        <v>0.069368</v>
      </c>
    </row>
    <row r="771">
      <c r="D771" s="2" t="n">
        <v>0.073103</v>
      </c>
      <c r="E771" s="2" t="n">
        <v>0.071155</v>
      </c>
      <c r="G771" s="2" t="n">
        <v>0.07209</v>
      </c>
      <c r="H771" s="2" t="n">
        <v>0.068745</v>
      </c>
    </row>
    <row r="772">
      <c r="D772" s="2" t="n">
        <v>0.072647</v>
      </c>
      <c r="E772" s="2" t="n">
        <v>0.07088</v>
      </c>
      <c r="G772" s="2" t="n">
        <v>0.07252699999999999</v>
      </c>
      <c r="H772" s="2" t="n">
        <v>0.068998</v>
      </c>
    </row>
    <row r="773">
      <c r="D773" s="2" t="n">
        <v>0.072853</v>
      </c>
      <c r="E773" s="2" t="n">
        <v>0.070701</v>
      </c>
      <c r="G773" s="2" t="n">
        <v>0.072463</v>
      </c>
      <c r="H773" s="2" t="n">
        <v>0.069162</v>
      </c>
    </row>
    <row r="774">
      <c r="D774" s="2" t="n">
        <v>0.07264900000000001</v>
      </c>
      <c r="E774" s="2" t="n">
        <v>0.070796</v>
      </c>
      <c r="G774" s="2" t="n">
        <v>0.07298200000000001</v>
      </c>
      <c r="H774" s="2" t="n">
        <v>0.06911200000000001</v>
      </c>
    </row>
    <row r="775">
      <c r="D775" s="2" t="n">
        <v>0.072322</v>
      </c>
      <c r="E775" s="2" t="n">
        <v>0.07044599999999999</v>
      </c>
      <c r="G775" s="2" t="n">
        <v>0.071967</v>
      </c>
      <c r="H775" s="2" t="n">
        <v>0.06864199999999999</v>
      </c>
    </row>
    <row r="776">
      <c r="D776" s="2" t="n">
        <v>0.07217800000000001</v>
      </c>
      <c r="E776" s="2" t="n">
        <v>0.070437</v>
      </c>
      <c r="G776" s="2" t="n">
        <v>0.07177</v>
      </c>
      <c r="H776" s="2" t="n">
        <v>0.06859899999999999</v>
      </c>
    </row>
    <row r="777">
      <c r="D777" s="2" t="n">
        <v>0.072315</v>
      </c>
      <c r="E777" s="2" t="n">
        <v>0.070538</v>
      </c>
      <c r="G777" s="2" t="n">
        <v>0.072157</v>
      </c>
      <c r="H777" s="2" t="n">
        <v>0.06879</v>
      </c>
    </row>
    <row r="778">
      <c r="D778" s="2" t="n">
        <v>0.072584</v>
      </c>
      <c r="E778" s="2" t="n">
        <v>0.070996</v>
      </c>
      <c r="G778" s="2" t="n">
        <v>0.071948</v>
      </c>
      <c r="H778" s="2" t="n">
        <v>0.068624</v>
      </c>
    </row>
    <row r="779">
      <c r="D779" s="2" t="n">
        <v>0.072161</v>
      </c>
      <c r="E779" s="2" t="n">
        <v>0.070467</v>
      </c>
      <c r="G779" s="2" t="n">
        <v>0.072134</v>
      </c>
      <c r="H779" s="2" t="n">
        <v>0.068814</v>
      </c>
    </row>
    <row r="780">
      <c r="D780" s="2" t="n">
        <v>0.07238700000000001</v>
      </c>
      <c r="E780" s="2" t="n">
        <v>0.070338</v>
      </c>
      <c r="G780" s="2" t="n">
        <v>0.071848</v>
      </c>
      <c r="H780" s="2" t="n">
        <v>0.068437</v>
      </c>
    </row>
    <row r="781">
      <c r="D781" s="2" t="n">
        <v>0.072698</v>
      </c>
      <c r="E781" s="2" t="n">
        <v>0.07066</v>
      </c>
      <c r="G781" s="2" t="n">
        <v>0.07224700000000001</v>
      </c>
      <c r="H781" s="2" t="n">
        <v>0.06854200000000001</v>
      </c>
    </row>
    <row r="782">
      <c r="D782" s="2" t="n">
        <v>0.07237200000000001</v>
      </c>
      <c r="E782" s="2" t="n">
        <v>0.070774</v>
      </c>
      <c r="G782" s="2" t="n">
        <v>0.072002</v>
      </c>
      <c r="H782" s="2" t="n">
        <v>0.069048</v>
      </c>
    </row>
    <row r="783">
      <c r="D783" s="2" t="n">
        <v>0.072161</v>
      </c>
      <c r="E783" s="2" t="n">
        <v>0.070423</v>
      </c>
      <c r="G783" s="2" t="n">
        <v>0.071932</v>
      </c>
      <c r="H783" s="2" t="n">
        <v>0.068477</v>
      </c>
    </row>
    <row r="784">
      <c r="D784" s="2" t="n">
        <v>0.07224700000000001</v>
      </c>
      <c r="E784" s="2" t="n">
        <v>0.07041</v>
      </c>
      <c r="G784" s="2" t="n">
        <v>0.071798</v>
      </c>
      <c r="H784" s="2" t="n">
        <v>0.068429</v>
      </c>
    </row>
    <row r="785">
      <c r="D785" s="2" t="n">
        <v>0.072532</v>
      </c>
      <c r="E785" s="2" t="n">
        <v>0.0706</v>
      </c>
      <c r="G785" s="2" t="n">
        <v>0.072729</v>
      </c>
      <c r="H785" s="2" t="n">
        <v>0.068951</v>
      </c>
    </row>
    <row r="786">
      <c r="D786" s="2" t="n">
        <v>0.072272</v>
      </c>
      <c r="E786" s="2" t="n">
        <v>0.070784</v>
      </c>
      <c r="G786" s="2" t="n">
        <v>0.071908</v>
      </c>
      <c r="H786" s="2" t="n">
        <v>0.06858400000000001</v>
      </c>
    </row>
    <row r="787">
      <c r="D787" s="2" t="n">
        <v>0.072389</v>
      </c>
      <c r="E787" s="2" t="n">
        <v>0.070298</v>
      </c>
      <c r="G787" s="2" t="n">
        <v>0.071876</v>
      </c>
      <c r="H787" s="2" t="n">
        <v>0.06829</v>
      </c>
    </row>
    <row r="788">
      <c r="D788" s="2" t="n">
        <v>0.07248400000000001</v>
      </c>
      <c r="E788" s="2" t="n">
        <v>0.070672</v>
      </c>
      <c r="G788" s="2" t="n">
        <v>0.07233199999999999</v>
      </c>
      <c r="H788" s="2" t="n">
        <v>0.068796</v>
      </c>
    </row>
    <row r="789">
      <c r="D789" s="2" t="n">
        <v>0.072599</v>
      </c>
      <c r="E789" s="2" t="n">
        <v>0.070686</v>
      </c>
      <c r="G789" s="2" t="n">
        <v>0.07184</v>
      </c>
      <c r="H789" s="2" t="n">
        <v>0.068498</v>
      </c>
    </row>
    <row r="790">
      <c r="D790" s="2" t="n">
        <v>0.07298200000000001</v>
      </c>
      <c r="E790" s="2" t="n">
        <v>0.070946</v>
      </c>
      <c r="G790" s="2" t="n">
        <v>0.072019</v>
      </c>
      <c r="H790" s="2" t="n">
        <v>0.068579</v>
      </c>
    </row>
    <row r="791">
      <c r="D791" s="2" t="n">
        <v>0.07263500000000001</v>
      </c>
      <c r="E791" s="2" t="n">
        <v>0.070469</v>
      </c>
      <c r="G791" s="2" t="n">
        <v>0.07220699999999999</v>
      </c>
      <c r="H791" s="2" t="n">
        <v>0.069164</v>
      </c>
    </row>
    <row r="792">
      <c r="D792" s="2" t="n">
        <v>0.072422</v>
      </c>
      <c r="E792" s="2" t="n">
        <v>0.07058399999999999</v>
      </c>
      <c r="G792" s="2" t="n">
        <v>0.071976</v>
      </c>
      <c r="H792" s="2" t="n">
        <v>0.068952</v>
      </c>
    </row>
    <row r="793">
      <c r="D793" s="2" t="n">
        <v>0.072877</v>
      </c>
      <c r="E793" s="2" t="n">
        <v>0.070775</v>
      </c>
      <c r="G793" s="2" t="n">
        <v>0.072223</v>
      </c>
      <c r="H793" s="2" t="n">
        <v>0.069101</v>
      </c>
    </row>
    <row r="794">
      <c r="D794" s="2" t="n">
        <v>0.07281799999999999</v>
      </c>
      <c r="E794" s="2" t="n">
        <v>0.07066500000000001</v>
      </c>
      <c r="G794" s="2" t="n">
        <v>0.07177799999999999</v>
      </c>
      <c r="H794" s="2" t="n">
        <v>0.068565</v>
      </c>
    </row>
    <row r="795">
      <c r="D795" s="2" t="n">
        <v>0.072292</v>
      </c>
      <c r="E795" s="2" t="n">
        <v>0.070351</v>
      </c>
      <c r="G795" s="2" t="n">
        <v>0.072435</v>
      </c>
      <c r="H795" s="2" t="n">
        <v>0.069428</v>
      </c>
    </row>
    <row r="796">
      <c r="D796" s="2" t="n">
        <v>0.07277500000000001</v>
      </c>
      <c r="E796" s="2" t="n">
        <v>0.070817</v>
      </c>
      <c r="G796" s="2" t="n">
        <v>0.071827</v>
      </c>
      <c r="H796" s="2" t="n">
        <v>0.06861299999999999</v>
      </c>
    </row>
    <row r="797">
      <c r="D797" s="2" t="n">
        <v>0.072584</v>
      </c>
      <c r="E797" s="2" t="n">
        <v>0.070642</v>
      </c>
      <c r="G797" s="2" t="n">
        <v>0.072032</v>
      </c>
      <c r="H797" s="2" t="n">
        <v>0.06883400000000001</v>
      </c>
    </row>
    <row r="798">
      <c r="D798" s="2" t="n">
        <v>0.07284</v>
      </c>
      <c r="E798" s="2" t="n">
        <v>0.07076300000000001</v>
      </c>
      <c r="G798" s="2" t="n">
        <v>0.072245</v>
      </c>
      <c r="H798" s="2" t="n">
        <v>0.06884700000000001</v>
      </c>
    </row>
    <row r="799">
      <c r="D799" s="2" t="n">
        <v>0.07263699999999999</v>
      </c>
      <c r="E799" s="2" t="n">
        <v>0.070497</v>
      </c>
      <c r="G799" s="2" t="n">
        <v>0.072145</v>
      </c>
      <c r="H799" s="2" t="n">
        <v>0.068838</v>
      </c>
    </row>
    <row r="800">
      <c r="D800" s="2" t="n">
        <v>0.072352</v>
      </c>
      <c r="E800" s="2" t="n">
        <v>0.070563</v>
      </c>
      <c r="G800" s="2" t="n">
        <v>0.072128</v>
      </c>
      <c r="H800" s="2" t="n">
        <v>0.06883300000000001</v>
      </c>
    </row>
    <row r="801">
      <c r="D801" s="2" t="n">
        <v>0.07272199999999999</v>
      </c>
      <c r="E801" s="2" t="n">
        <v>0.071045</v>
      </c>
      <c r="G801" s="2" t="n">
        <v>0.071862</v>
      </c>
      <c r="H801" s="2" t="n">
        <v>0.068499</v>
      </c>
    </row>
    <row r="802">
      <c r="D802" s="2" t="n">
        <v>0.072376</v>
      </c>
      <c r="E802" s="2" t="n">
        <v>0.07029100000000001</v>
      </c>
      <c r="G802" s="2" t="n">
        <v>0.07185999999999999</v>
      </c>
      <c r="H802" s="2" t="n">
        <v>0.068622</v>
      </c>
    </row>
    <row r="803">
      <c r="D803" s="2" t="n">
        <v>0.072454</v>
      </c>
      <c r="E803" s="2" t="n">
        <v>0.07059600000000001</v>
      </c>
      <c r="G803" s="2" t="n">
        <v>0.071876</v>
      </c>
      <c r="H803" s="2" t="n">
        <v>0.068745</v>
      </c>
    </row>
    <row r="804">
      <c r="D804" s="2" t="n">
        <v>0.07279099999999999</v>
      </c>
      <c r="E804" s="2" t="n">
        <v>0.070605</v>
      </c>
      <c r="G804" s="2" t="n">
        <v>0.072092</v>
      </c>
      <c r="H804" s="2" t="n">
        <v>0.06865400000000001</v>
      </c>
    </row>
    <row r="805">
      <c r="D805" s="2" t="n">
        <v>0.072491</v>
      </c>
      <c r="E805" s="2" t="n">
        <v>0.07080500000000001</v>
      </c>
      <c r="G805" s="2" t="n">
        <v>0.071822</v>
      </c>
      <c r="H805" s="2" t="n">
        <v>0.068397</v>
      </c>
    </row>
    <row r="806">
      <c r="D806" s="2" t="n">
        <v>0.072339</v>
      </c>
      <c r="E806" s="2" t="n">
        <v>0.07031</v>
      </c>
      <c r="G806" s="2" t="n">
        <v>0.07184699999999999</v>
      </c>
      <c r="H806" s="2" t="n">
        <v>0.068493</v>
      </c>
    </row>
    <row r="807">
      <c r="D807" s="2" t="n">
        <v>0.072505</v>
      </c>
      <c r="E807" s="2" t="n">
        <v>0.070565</v>
      </c>
      <c r="G807" s="2" t="n">
        <v>0.071756</v>
      </c>
      <c r="H807" s="2" t="n">
        <v>0.068589</v>
      </c>
    </row>
    <row r="808">
      <c r="D808" s="2" t="n">
        <v>0.072424</v>
      </c>
      <c r="E808" s="2" t="n">
        <v>0.070257</v>
      </c>
      <c r="G808" s="2" t="n">
        <v>0.07191599999999999</v>
      </c>
      <c r="H808" s="2" t="n">
        <v>0.068381</v>
      </c>
    </row>
    <row r="809">
      <c r="D809" s="2" t="n">
        <v>0.072321</v>
      </c>
      <c r="E809" s="2" t="n">
        <v>0.07044300000000001</v>
      </c>
      <c r="G809" s="2" t="n">
        <v>0.07190100000000001</v>
      </c>
      <c r="H809" s="2" t="n">
        <v>0.06855899999999999</v>
      </c>
    </row>
    <row r="810">
      <c r="D810" s="2" t="n">
        <v>0.072403</v>
      </c>
      <c r="E810" s="2" t="n">
        <v>0.070344</v>
      </c>
      <c r="G810" s="2" t="n">
        <v>0.072201</v>
      </c>
      <c r="H810" s="2" t="n">
        <v>0.068521</v>
      </c>
    </row>
    <row r="811">
      <c r="D811" s="2" t="n">
        <v>0.072281</v>
      </c>
      <c r="E811" s="2" t="n">
        <v>0.070212</v>
      </c>
      <c r="G811" s="2" t="n">
        <v>0.071904</v>
      </c>
      <c r="H811" s="2" t="n">
        <v>0.068607</v>
      </c>
    </row>
    <row r="812">
      <c r="D812" s="2" t="n">
        <v>0.072329</v>
      </c>
      <c r="E812" s="2" t="n">
        <v>0.070449</v>
      </c>
      <c r="G812" s="2" t="n">
        <v>0.072076</v>
      </c>
      <c r="H812" s="2" t="n">
        <v>0.06837600000000001</v>
      </c>
    </row>
    <row r="813">
      <c r="D813" s="2" t="n">
        <v>0.072278</v>
      </c>
      <c r="E813" s="2" t="n">
        <v>0.070257</v>
      </c>
      <c r="G813" s="2" t="n">
        <v>0.07190299999999999</v>
      </c>
      <c r="H813" s="2" t="n">
        <v>0.068152</v>
      </c>
    </row>
    <row r="814">
      <c r="D814" s="2" t="n">
        <v>0.072336</v>
      </c>
      <c r="E814" s="2" t="n">
        <v>0.070475</v>
      </c>
      <c r="G814" s="2" t="n">
        <v>0.071783</v>
      </c>
      <c r="H814" s="2" t="n">
        <v>0.068244</v>
      </c>
    </row>
    <row r="815">
      <c r="D815" s="2" t="n">
        <v>0.072363</v>
      </c>
      <c r="E815" s="2" t="n">
        <v>0.07042</v>
      </c>
      <c r="G815" s="2" t="n">
        <v>0.071798</v>
      </c>
      <c r="H815" s="2" t="n">
        <v>0.068388</v>
      </c>
    </row>
    <row r="816">
      <c r="D816" s="2" t="n">
        <v>0.072737</v>
      </c>
      <c r="E816" s="2" t="n">
        <v>0.07076499999999999</v>
      </c>
      <c r="G816" s="2" t="n">
        <v>0.072112</v>
      </c>
      <c r="H816" s="2" t="n">
        <v>0.068678</v>
      </c>
    </row>
    <row r="817">
      <c r="D817" s="2" t="n">
        <v>0.072614</v>
      </c>
      <c r="E817" s="2" t="n">
        <v>0.070492</v>
      </c>
      <c r="G817" s="2" t="n">
        <v>0.071854</v>
      </c>
      <c r="H817" s="2" t="n">
        <v>0.068536</v>
      </c>
    </row>
    <row r="818">
      <c r="D818" s="2" t="n">
        <v>0.072272</v>
      </c>
      <c r="E818" s="2" t="n">
        <v>0.070396</v>
      </c>
      <c r="G818" s="2" t="n">
        <v>0.071918</v>
      </c>
      <c r="H818" s="2" t="n">
        <v>0.068382</v>
      </c>
    </row>
    <row r="819">
      <c r="D819" s="2" t="n">
        <v>0.072279</v>
      </c>
      <c r="E819" s="2" t="n">
        <v>0.070448</v>
      </c>
      <c r="G819" s="2" t="n">
        <v>0.071882</v>
      </c>
      <c r="H819" s="2" t="n">
        <v>0.06847200000000001</v>
      </c>
    </row>
    <row r="820">
      <c r="D820" s="2" t="n">
        <v>0.072397</v>
      </c>
      <c r="E820" s="2" t="n">
        <v>0.070461</v>
      </c>
      <c r="G820" s="2" t="n">
        <v>0.07177799999999999</v>
      </c>
      <c r="H820" s="2" t="n">
        <v>0.068547</v>
      </c>
    </row>
    <row r="821">
      <c r="D821" s="2" t="n">
        <v>0.07239900000000001</v>
      </c>
      <c r="E821" s="2" t="n">
        <v>0.0704</v>
      </c>
      <c r="G821" s="2" t="n">
        <v>0.072036</v>
      </c>
      <c r="H821" s="2" t="n">
        <v>0.06891</v>
      </c>
    </row>
    <row r="822">
      <c r="D822" s="2" t="n">
        <v>0.072328</v>
      </c>
      <c r="E822" s="2" t="n">
        <v>0.070391</v>
      </c>
      <c r="G822" s="2" t="n">
        <v>0.071745</v>
      </c>
      <c r="H822" s="2" t="n">
        <v>0.068393</v>
      </c>
    </row>
    <row r="823">
      <c r="D823" s="2" t="n">
        <v>0.07223300000000001</v>
      </c>
      <c r="E823" s="2" t="n">
        <v>0.070281</v>
      </c>
      <c r="G823" s="2" t="n">
        <v>0.071934</v>
      </c>
      <c r="H823" s="2" t="n">
        <v>0.068494</v>
      </c>
    </row>
    <row r="824">
      <c r="D824" s="2" t="n">
        <v>0.072195</v>
      </c>
      <c r="E824" s="2" t="n">
        <v>0.070489</v>
      </c>
      <c r="G824" s="2" t="n">
        <v>0.071755</v>
      </c>
      <c r="H824" s="2" t="n">
        <v>0.06838900000000001</v>
      </c>
    </row>
    <row r="825">
      <c r="D825" s="2" t="n">
        <v>0.072245</v>
      </c>
      <c r="E825" s="2" t="n">
        <v>0.070615</v>
      </c>
      <c r="G825" s="2" t="n">
        <v>0.071838</v>
      </c>
      <c r="H825" s="2" t="n">
        <v>0.068395</v>
      </c>
    </row>
    <row r="826">
      <c r="D826" s="2" t="n">
        <v>0.07242899999999999</v>
      </c>
      <c r="E826" s="2" t="n">
        <v>0.07040100000000001</v>
      </c>
      <c r="G826" s="2" t="n">
        <v>0.071938</v>
      </c>
      <c r="H826" s="2" t="n">
        <v>0.068532</v>
      </c>
    </row>
    <row r="827">
      <c r="D827" s="2" t="n">
        <v>0.072229</v>
      </c>
      <c r="E827" s="2" t="n">
        <v>0.070313</v>
      </c>
      <c r="G827" s="2" t="n">
        <v>0.07190000000000001</v>
      </c>
      <c r="H827" s="2" t="n">
        <v>0.06836100000000001</v>
      </c>
    </row>
    <row r="828">
      <c r="D828" s="2" t="n">
        <v>0.072168</v>
      </c>
      <c r="E828" s="2" t="n">
        <v>0.070169</v>
      </c>
      <c r="G828" s="2" t="n">
        <v>0.071913</v>
      </c>
      <c r="H828" s="2" t="n">
        <v>0.068457</v>
      </c>
    </row>
    <row r="829">
      <c r="D829" s="2" t="n">
        <v>0.072321</v>
      </c>
      <c r="E829" s="2" t="n">
        <v>0.070356</v>
      </c>
      <c r="G829" s="2" t="n">
        <v>0.07173599999999999</v>
      </c>
      <c r="H829" s="2" t="n">
        <v>0.06836299999999999</v>
      </c>
    </row>
    <row r="830">
      <c r="D830" s="2" t="n">
        <v>0.07234</v>
      </c>
      <c r="E830" s="2" t="n">
        <v>0.070322</v>
      </c>
      <c r="G830" s="2" t="n">
        <v>0.07177799999999999</v>
      </c>
      <c r="H830" s="2" t="n">
        <v>0.068577</v>
      </c>
    </row>
    <row r="831">
      <c r="D831" s="2" t="n">
        <v>0.072257</v>
      </c>
      <c r="E831" s="2" t="n">
        <v>0.070309</v>
      </c>
      <c r="G831" s="2" t="n">
        <v>0.071907</v>
      </c>
      <c r="H831" s="2" t="n">
        <v>0.068588</v>
      </c>
    </row>
    <row r="832">
      <c r="D832" s="2" t="n">
        <v>0.0723</v>
      </c>
      <c r="E832" s="2" t="n">
        <v>0.070282</v>
      </c>
      <c r="G832" s="2" t="n">
        <v>0.071881</v>
      </c>
      <c r="H832" s="2" t="n">
        <v>0.06852</v>
      </c>
    </row>
    <row r="833">
      <c r="D833" s="2" t="n">
        <v>0.072293</v>
      </c>
      <c r="E833" s="2" t="n">
        <v>0.070239</v>
      </c>
      <c r="G833" s="2" t="n">
        <v>0.071771</v>
      </c>
      <c r="H833" s="2" t="n">
        <v>0.068484</v>
      </c>
    </row>
    <row r="834">
      <c r="D834" s="2" t="n">
        <v>0.0723</v>
      </c>
      <c r="E834" s="2" t="n">
        <v>0.07019400000000001</v>
      </c>
      <c r="G834" s="2" t="n">
        <v>0.07186099999999999</v>
      </c>
      <c r="H834" s="2" t="n">
        <v>0.068365</v>
      </c>
    </row>
    <row r="835">
      <c r="D835" s="2" t="n">
        <v>0.07231</v>
      </c>
      <c r="E835" s="2" t="n">
        <v>0.07029100000000001</v>
      </c>
      <c r="G835" s="2" t="n">
        <v>0.071813</v>
      </c>
      <c r="H835" s="2" t="n">
        <v>0.068213</v>
      </c>
    </row>
    <row r="836">
      <c r="D836" s="2" t="n">
        <v>0.07223300000000001</v>
      </c>
      <c r="E836" s="2" t="n">
        <v>0.07030500000000001</v>
      </c>
      <c r="G836" s="2" t="n">
        <v>0.071772</v>
      </c>
      <c r="H836" s="2" t="n">
        <v>0.06839199999999999</v>
      </c>
    </row>
    <row r="837">
      <c r="D837" s="2" t="n">
        <v>0.072113</v>
      </c>
      <c r="E837" s="2" t="n">
        <v>0.070211</v>
      </c>
      <c r="G837" s="2" t="n">
        <v>0.071878</v>
      </c>
      <c r="H837" s="2" t="n">
        <v>0.068645</v>
      </c>
    </row>
    <row r="838">
      <c r="D838" s="2" t="n">
        <v>0.07239</v>
      </c>
      <c r="E838" s="2" t="n">
        <v>0.070379</v>
      </c>
      <c r="G838" s="2" t="n">
        <v>0.071977</v>
      </c>
      <c r="H838" s="2" t="n">
        <v>0.068562</v>
      </c>
    </row>
    <row r="839">
      <c r="D839" s="2" t="n">
        <v>0.07220600000000001</v>
      </c>
      <c r="E839" s="2" t="n">
        <v>0.070156</v>
      </c>
      <c r="G839" s="2" t="n">
        <v>0.07196900000000001</v>
      </c>
      <c r="H839" s="2" t="n">
        <v>0.068509</v>
      </c>
    </row>
    <row r="840">
      <c r="D840" s="2" t="n">
        <v>0.072175</v>
      </c>
      <c r="E840" s="2" t="n">
        <v>0.070282</v>
      </c>
      <c r="G840" s="2" t="n">
        <v>0.071843</v>
      </c>
      <c r="H840" s="2" t="n">
        <v>0.068243</v>
      </c>
    </row>
    <row r="841">
      <c r="D841" s="2" t="n">
        <v>0.072183</v>
      </c>
      <c r="E841" s="2" t="n">
        <v>0.070357</v>
      </c>
      <c r="G841" s="2" t="n">
        <v>0.071742</v>
      </c>
      <c r="H841" s="2" t="n">
        <v>0.06818299999999999</v>
      </c>
    </row>
    <row r="842">
      <c r="D842" s="2" t="n">
        <v>0.072267</v>
      </c>
      <c r="E842" s="2" t="n">
        <v>0.07033499999999999</v>
      </c>
      <c r="G842" s="2" t="n">
        <v>0.07177799999999999</v>
      </c>
      <c r="H842" s="2" t="n">
        <v>0.068366</v>
      </c>
    </row>
    <row r="843">
      <c r="D843" s="2" t="n">
        <v>0.072393</v>
      </c>
      <c r="E843" s="2" t="n">
        <v>0.07052799999999999</v>
      </c>
      <c r="G843" s="2" t="n">
        <v>0.071892</v>
      </c>
      <c r="H843" s="2" t="n">
        <v>0.068254</v>
      </c>
    </row>
    <row r="844">
      <c r="D844" s="2" t="n">
        <v>0.072016</v>
      </c>
      <c r="E844" s="2" t="n">
        <v>0.070206</v>
      </c>
      <c r="G844" s="2" t="n">
        <v>0.071811</v>
      </c>
      <c r="H844" s="2" t="n">
        <v>0.06836100000000001</v>
      </c>
    </row>
    <row r="845">
      <c r="D845" s="2" t="n">
        <v>0.072349</v>
      </c>
      <c r="E845" s="2" t="n">
        <v>0.07019599999999999</v>
      </c>
      <c r="G845" s="2" t="n">
        <v>0.07165299999999999</v>
      </c>
      <c r="H845" s="2" t="n">
        <v>0.068259</v>
      </c>
    </row>
    <row r="846">
      <c r="D846" s="2" t="n">
        <v>0.07212300000000001</v>
      </c>
      <c r="E846" s="2" t="n">
        <v>0.070175</v>
      </c>
      <c r="G846" s="2" t="n">
        <v>0.07183199999999999</v>
      </c>
      <c r="H846" s="2" t="n">
        <v>0.068326</v>
      </c>
    </row>
    <row r="847">
      <c r="D847" s="2" t="n">
        <v>0.07219</v>
      </c>
      <c r="E847" s="2" t="n">
        <v>0.07035</v>
      </c>
      <c r="G847" s="2" t="n">
        <v>0.071788</v>
      </c>
      <c r="H847" s="2" t="n">
        <v>0.068492</v>
      </c>
    </row>
    <row r="848">
      <c r="D848" s="2" t="n">
        <v>0.07223300000000001</v>
      </c>
      <c r="E848" s="2" t="n">
        <v>0.070169</v>
      </c>
      <c r="G848" s="2" t="n">
        <v>0.071688</v>
      </c>
      <c r="H848" s="2" t="n">
        <v>0.06826400000000001</v>
      </c>
    </row>
    <row r="849">
      <c r="D849" s="2" t="n">
        <v>0.072149</v>
      </c>
      <c r="E849" s="2" t="n">
        <v>0.070325</v>
      </c>
      <c r="G849" s="2" t="n">
        <v>0.071809</v>
      </c>
      <c r="H849" s="2" t="n">
        <v>0.068512</v>
      </c>
    </row>
    <row r="850">
      <c r="D850" s="2" t="n">
        <v>0.0722</v>
      </c>
      <c r="E850" s="2" t="n">
        <v>0.070255</v>
      </c>
      <c r="G850" s="2" t="n">
        <v>0.07189</v>
      </c>
      <c r="H850" s="2" t="n">
        <v>0.068108</v>
      </c>
    </row>
    <row r="851">
      <c r="D851" s="2" t="n">
        <v>0.072216</v>
      </c>
      <c r="E851" s="2" t="n">
        <v>0.07023699999999999</v>
      </c>
      <c r="G851" s="2" t="n">
        <v>0.071788</v>
      </c>
      <c r="H851" s="2" t="n">
        <v>0.068277</v>
      </c>
    </row>
    <row r="852">
      <c r="D852" s="2" t="n">
        <v>0.07223599999999999</v>
      </c>
      <c r="E852" s="2" t="n">
        <v>0.07030599999999999</v>
      </c>
      <c r="G852" s="2" t="n">
        <v>0.071757</v>
      </c>
      <c r="H852" s="2" t="n">
        <v>0.068277</v>
      </c>
    </row>
    <row r="853">
      <c r="D853" s="2" t="n">
        <v>0.072351</v>
      </c>
      <c r="E853" s="2" t="n">
        <v>0.070462</v>
      </c>
      <c r="G853" s="2" t="n">
        <v>0.071808</v>
      </c>
      <c r="H853" s="2" t="n">
        <v>0.068358</v>
      </c>
    </row>
    <row r="854">
      <c r="D854" s="2" t="n">
        <v>0.072272</v>
      </c>
      <c r="E854" s="2" t="n">
        <v>0.070394</v>
      </c>
      <c r="G854" s="2" t="n">
        <v>0.071975</v>
      </c>
      <c r="H854" s="2" t="n">
        <v>0.068421</v>
      </c>
    </row>
    <row r="855">
      <c r="D855" s="2" t="n">
        <v>0.072615</v>
      </c>
      <c r="E855" s="2" t="n">
        <v>0.07045899999999999</v>
      </c>
      <c r="G855" s="2" t="n">
        <v>0.071726</v>
      </c>
      <c r="H855" s="2" t="n">
        <v>0.06841</v>
      </c>
    </row>
    <row r="856">
      <c r="D856" s="2" t="n">
        <v>0.072309</v>
      </c>
      <c r="E856" s="2" t="n">
        <v>0.070302</v>
      </c>
      <c r="G856" s="2" t="n">
        <v>0.071841</v>
      </c>
      <c r="H856" s="2" t="n">
        <v>0.068218</v>
      </c>
    </row>
    <row r="857">
      <c r="D857" s="2" t="n">
        <v>0.072217</v>
      </c>
      <c r="E857" s="2" t="n">
        <v>0.070284</v>
      </c>
      <c r="G857" s="2" t="n">
        <v>0.071711</v>
      </c>
      <c r="H857" s="2" t="n">
        <v>0.068275</v>
      </c>
    </row>
    <row r="858">
      <c r="D858" s="2" t="n">
        <v>0.072283</v>
      </c>
      <c r="E858" s="2" t="n">
        <v>0.070313</v>
      </c>
      <c r="G858" s="2" t="n">
        <v>0.07173</v>
      </c>
      <c r="H858" s="2" t="n">
        <v>0.068249</v>
      </c>
    </row>
    <row r="859">
      <c r="D859" s="2" t="n">
        <v>0.072196</v>
      </c>
      <c r="E859" s="2" t="n">
        <v>0.07026200000000001</v>
      </c>
      <c r="G859" s="2" t="n">
        <v>0.071767</v>
      </c>
      <c r="H859" s="2" t="n">
        <v>0.068186</v>
      </c>
    </row>
    <row r="860">
      <c r="D860" s="2" t="n">
        <v>0.072201</v>
      </c>
      <c r="E860" s="2" t="n">
        <v>0.07033499999999999</v>
      </c>
      <c r="G860" s="2" t="n">
        <v>0.07172199999999999</v>
      </c>
      <c r="H860" s="2" t="n">
        <v>0.068299</v>
      </c>
    </row>
    <row r="861">
      <c r="D861" s="2" t="n">
        <v>0.07238600000000001</v>
      </c>
      <c r="E861" s="2" t="n">
        <v>0.07047399999999999</v>
      </c>
      <c r="G861" s="2" t="n">
        <v>0.071848</v>
      </c>
      <c r="H861" s="2" t="n">
        <v>0.06832299999999999</v>
      </c>
    </row>
    <row r="862">
      <c r="D862" s="2" t="n">
        <v>0.072204</v>
      </c>
      <c r="E862" s="2" t="n">
        <v>0.07023</v>
      </c>
      <c r="G862" s="2" t="n">
        <v>0.071726</v>
      </c>
      <c r="H862" s="2" t="n">
        <v>0.068298</v>
      </c>
    </row>
    <row r="863">
      <c r="D863" s="2" t="n">
        <v>0.072243</v>
      </c>
      <c r="E863" s="2" t="n">
        <v>0.070295</v>
      </c>
      <c r="G863" s="2" t="n">
        <v>0.07184500000000001</v>
      </c>
      <c r="H863" s="2" t="n">
        <v>0.06829200000000001</v>
      </c>
    </row>
    <row r="864">
      <c r="D864" s="2" t="n">
        <v>0.072258</v>
      </c>
      <c r="E864" s="2" t="n">
        <v>0.070326</v>
      </c>
      <c r="G864" s="2" t="n">
        <v>0.07174</v>
      </c>
      <c r="H864" s="2" t="n">
        <v>0.068421</v>
      </c>
    </row>
    <row r="865">
      <c r="D865" s="2" t="n">
        <v>0.072159</v>
      </c>
      <c r="E865" s="2" t="n">
        <v>0.070272</v>
      </c>
      <c r="G865" s="2" t="n">
        <v>0.071773</v>
      </c>
      <c r="H865" s="2" t="n">
        <v>0.068259</v>
      </c>
    </row>
    <row r="866">
      <c r="D866" s="2" t="n">
        <v>0.072134</v>
      </c>
      <c r="E866" s="2" t="n">
        <v>0.07029199999999999</v>
      </c>
      <c r="G866" s="2" t="n">
        <v>0.07169499999999999</v>
      </c>
      <c r="H866" s="2" t="n">
        <v>0.068272</v>
      </c>
    </row>
    <row r="867">
      <c r="D867" s="2" t="n">
        <v>0.07231899999999999</v>
      </c>
      <c r="E867" s="2" t="n">
        <v>0.070259</v>
      </c>
      <c r="G867" s="2" t="n">
        <v>0.07162399999999999</v>
      </c>
      <c r="H867" s="2" t="n">
        <v>0.068118</v>
      </c>
    </row>
    <row r="868">
      <c r="D868" s="2" t="n">
        <v>0.072198</v>
      </c>
      <c r="E868" s="2" t="n">
        <v>0.070268</v>
      </c>
      <c r="G868" s="2" t="n">
        <v>0.072024</v>
      </c>
      <c r="H868" s="2" t="n">
        <v>0.068692</v>
      </c>
    </row>
    <row r="869">
      <c r="D869" s="2" t="n">
        <v>0.072355</v>
      </c>
      <c r="E869" s="2" t="n">
        <v>0.070245</v>
      </c>
      <c r="G869" s="2" t="n">
        <v>0.071691</v>
      </c>
      <c r="H869" s="2" t="n">
        <v>0.068228</v>
      </c>
    </row>
    <row r="870">
      <c r="D870" s="2" t="n">
        <v>0.07233000000000001</v>
      </c>
      <c r="E870" s="2" t="n">
        <v>0.070268</v>
      </c>
      <c r="G870" s="2" t="n">
        <v>0.071868</v>
      </c>
      <c r="H870" s="2" t="n">
        <v>0.068262</v>
      </c>
    </row>
    <row r="871">
      <c r="D871" s="2" t="n">
        <v>0.072241</v>
      </c>
      <c r="E871" s="2" t="n">
        <v>0.070225</v>
      </c>
      <c r="G871" s="2" t="n">
        <v>0.071812</v>
      </c>
      <c r="H871" s="2" t="n">
        <v>0.068288</v>
      </c>
    </row>
    <row r="872">
      <c r="D872" s="2" t="n">
        <v>0.072253</v>
      </c>
      <c r="E872" s="2" t="n">
        <v>0.070281</v>
      </c>
      <c r="G872" s="2" t="n">
        <v>0.071604</v>
      </c>
      <c r="H872" s="2" t="n">
        <v>0.068317</v>
      </c>
    </row>
    <row r="873">
      <c r="D873" s="2" t="n">
        <v>0.072183</v>
      </c>
      <c r="E873" s="2" t="n">
        <v>0.07036000000000001</v>
      </c>
      <c r="G873" s="2" t="n">
        <v>0.071771</v>
      </c>
      <c r="H873" s="2" t="n">
        <v>0.06826500000000001</v>
      </c>
    </row>
    <row r="874">
      <c r="D874" s="2" t="n">
        <v>0.07224999999999999</v>
      </c>
      <c r="E874" s="2" t="n">
        <v>0.070303</v>
      </c>
      <c r="G874" s="2" t="n">
        <v>0.07174999999999999</v>
      </c>
      <c r="H874" s="2" t="n">
        <v>0.06822400000000001</v>
      </c>
    </row>
    <row r="875">
      <c r="D875" s="2" t="n">
        <v>0.07236099999999999</v>
      </c>
      <c r="E875" s="2" t="n">
        <v>0.070303</v>
      </c>
      <c r="G875" s="2" t="n">
        <v>0.071871</v>
      </c>
      <c r="H875" s="2" t="n">
        <v>0.06830899999999999</v>
      </c>
    </row>
    <row r="876">
      <c r="D876" s="2" t="n">
        <v>0.072245</v>
      </c>
      <c r="E876" s="2" t="n">
        <v>0.070341</v>
      </c>
      <c r="G876" s="2" t="n">
        <v>0.07176299999999999</v>
      </c>
      <c r="H876" s="2" t="n">
        <v>0.068284</v>
      </c>
    </row>
    <row r="877">
      <c r="D877" s="2" t="n">
        <v>0.07220500000000001</v>
      </c>
      <c r="E877" s="2" t="n">
        <v>0.070287</v>
      </c>
      <c r="G877" s="2" t="n">
        <v>0.071774</v>
      </c>
      <c r="H877" s="2" t="n">
        <v>0.06837600000000001</v>
      </c>
    </row>
    <row r="878">
      <c r="D878" s="2" t="n">
        <v>0.072242</v>
      </c>
      <c r="E878" s="2" t="n">
        <v>0.070229</v>
      </c>
      <c r="G878" s="2" t="n">
        <v>0.07173</v>
      </c>
      <c r="H878" s="2" t="n">
        <v>0.06823</v>
      </c>
    </row>
    <row r="879">
      <c r="D879" s="2" t="n">
        <v>0.072338</v>
      </c>
      <c r="E879" s="2" t="n">
        <v>0.070247</v>
      </c>
      <c r="G879" s="2" t="n">
        <v>0.071745</v>
      </c>
      <c r="H879" s="2" t="n">
        <v>0.06833</v>
      </c>
    </row>
    <row r="880">
      <c r="D880" s="2" t="n">
        <v>0.072214</v>
      </c>
      <c r="E880" s="2" t="n">
        <v>0.070357</v>
      </c>
      <c r="G880" s="2" t="n">
        <v>0.071726</v>
      </c>
      <c r="H880" s="2" t="n">
        <v>0.06818200000000001</v>
      </c>
    </row>
    <row r="881">
      <c r="D881" s="2" t="n">
        <v>0.072176</v>
      </c>
      <c r="E881" s="2" t="n">
        <v>0.07030500000000001</v>
      </c>
      <c r="G881" s="2" t="n">
        <v>0.071699</v>
      </c>
      <c r="H881" s="2" t="n">
        <v>0.068438</v>
      </c>
    </row>
    <row r="882">
      <c r="D882" s="2" t="n">
        <v>0.072212</v>
      </c>
      <c r="E882" s="2" t="n">
        <v>0.07026300000000001</v>
      </c>
      <c r="G882" s="2" t="n">
        <v>0.071813</v>
      </c>
      <c r="H882" s="2" t="n">
        <v>0.06834800000000001</v>
      </c>
    </row>
    <row r="883">
      <c r="D883" s="2" t="n">
        <v>0.072119</v>
      </c>
      <c r="E883" s="2" t="n">
        <v>0.070243</v>
      </c>
      <c r="G883" s="2" t="n">
        <v>0.07180499999999999</v>
      </c>
      <c r="H883" s="2" t="n">
        <v>0.068271</v>
      </c>
    </row>
    <row r="884">
      <c r="D884" s="2" t="n">
        <v>0.072231</v>
      </c>
      <c r="E884" s="2" t="n">
        <v>0.070464</v>
      </c>
      <c r="G884" s="2" t="n">
        <v>0.071674</v>
      </c>
      <c r="H884" s="2" t="n">
        <v>0.068258</v>
      </c>
    </row>
    <row r="885">
      <c r="D885" s="2" t="n">
        <v>0.07219</v>
      </c>
      <c r="E885" s="2" t="n">
        <v>0.070218</v>
      </c>
      <c r="G885" s="2" t="n">
        <v>0.07172199999999999</v>
      </c>
      <c r="H885" s="2" t="n">
        <v>0.068219</v>
      </c>
    </row>
    <row r="886">
      <c r="D886" s="2" t="n">
        <v>0.072245</v>
      </c>
      <c r="E886" s="2" t="n">
        <v>0.07038</v>
      </c>
      <c r="G886" s="2" t="n">
        <v>0.071774</v>
      </c>
      <c r="H886" s="2" t="n">
        <v>0.068282</v>
      </c>
    </row>
    <row r="887">
      <c r="D887" s="2" t="n">
        <v>0.07217</v>
      </c>
      <c r="E887" s="2" t="n">
        <v>0.070228</v>
      </c>
      <c r="G887" s="2" t="n">
        <v>0.071786</v>
      </c>
      <c r="H887" s="2" t="n">
        <v>0.068284</v>
      </c>
    </row>
    <row r="888">
      <c r="D888" s="2" t="n">
        <v>0.072259</v>
      </c>
      <c r="E888" s="2" t="n">
        <v>0.07030500000000001</v>
      </c>
      <c r="G888" s="2" t="n">
        <v>0.07172099999999999</v>
      </c>
      <c r="H888" s="2" t="n">
        <v>0.06822499999999999</v>
      </c>
    </row>
    <row r="889">
      <c r="D889" s="2" t="n">
        <v>0.072256</v>
      </c>
      <c r="E889" s="2" t="n">
        <v>0.070258</v>
      </c>
      <c r="G889" s="2" t="n">
        <v>0.071712</v>
      </c>
      <c r="H889" s="2" t="n">
        <v>0.068296</v>
      </c>
    </row>
    <row r="890">
      <c r="D890" s="2" t="n">
        <v>0.07220600000000001</v>
      </c>
      <c r="E890" s="2" t="n">
        <v>0.070287</v>
      </c>
      <c r="G890" s="2" t="n">
        <v>0.071659</v>
      </c>
      <c r="H890" s="2" t="n">
        <v>0.068319</v>
      </c>
    </row>
    <row r="891">
      <c r="D891" s="2" t="n">
        <v>0.072259</v>
      </c>
      <c r="E891" s="2" t="n">
        <v>0.070261</v>
      </c>
      <c r="G891" s="2" t="n">
        <v>0.071688</v>
      </c>
      <c r="H891" s="2" t="n">
        <v>0.068339</v>
      </c>
    </row>
    <row r="892">
      <c r="D892" s="2" t="n">
        <v>0.072189</v>
      </c>
      <c r="E892" s="2" t="n">
        <v>0.070301</v>
      </c>
      <c r="G892" s="2" t="n">
        <v>0.071825</v>
      </c>
      <c r="H892" s="2" t="n">
        <v>0.068311</v>
      </c>
    </row>
    <row r="893">
      <c r="D893" s="2" t="n">
        <v>0.072203</v>
      </c>
      <c r="E893" s="2" t="n">
        <v>0.07023</v>
      </c>
      <c r="G893" s="2" t="n">
        <v>0.07174999999999999</v>
      </c>
      <c r="H893" s="2" t="n">
        <v>0.068283</v>
      </c>
    </row>
    <row r="894">
      <c r="D894" s="2" t="n">
        <v>0.072281</v>
      </c>
      <c r="E894" s="2" t="n">
        <v>0.070252</v>
      </c>
      <c r="G894" s="2" t="n">
        <v>0.071739</v>
      </c>
      <c r="H894" s="2" t="n">
        <v>0.068303</v>
      </c>
    </row>
    <row r="895">
      <c r="D895" s="2" t="n">
        <v>0.072218</v>
      </c>
      <c r="E895" s="2" t="n">
        <v>0.070219</v>
      </c>
      <c r="G895" s="2" t="n">
        <v>0.07179000000000001</v>
      </c>
      <c r="H895" s="2" t="n">
        <v>0.068415</v>
      </c>
    </row>
    <row r="896">
      <c r="D896" s="2" t="n">
        <v>0.072172</v>
      </c>
      <c r="E896" s="2" t="n">
        <v>0.07018199999999999</v>
      </c>
      <c r="G896" s="2" t="n">
        <v>0.071746</v>
      </c>
      <c r="H896" s="2" t="n">
        <v>0.068299</v>
      </c>
    </row>
    <row r="897">
      <c r="D897" s="2" t="n">
        <v>0.072147</v>
      </c>
      <c r="E897" s="2" t="n">
        <v>0.070284</v>
      </c>
      <c r="G897" s="2" t="n">
        <v>0.07174</v>
      </c>
      <c r="H897" s="2" t="n">
        <v>0.068269</v>
      </c>
    </row>
    <row r="898">
      <c r="D898" s="2" t="n">
        <v>0.072167</v>
      </c>
      <c r="E898" s="2" t="n">
        <v>0.070244</v>
      </c>
      <c r="G898" s="2" t="n">
        <v>0.071691</v>
      </c>
      <c r="H898" s="2" t="n">
        <v>0.068246</v>
      </c>
    </row>
    <row r="899">
      <c r="D899" s="2" t="n">
        <v>0.072257</v>
      </c>
      <c r="E899" s="2" t="n">
        <v>0.070232</v>
      </c>
      <c r="G899" s="2" t="n">
        <v>0.071796</v>
      </c>
      <c r="H899" s="2" t="n">
        <v>0.068277</v>
      </c>
    </row>
    <row r="900">
      <c r="D900" s="2" t="n">
        <v>0.072259</v>
      </c>
      <c r="E900" s="2" t="n">
        <v>0.07028</v>
      </c>
      <c r="G900" s="2" t="n">
        <v>0.07169200000000001</v>
      </c>
      <c r="H900" s="2" t="n">
        <v>0.068245</v>
      </c>
    </row>
    <row r="901">
      <c r="D901" s="2" t="n">
        <v>0.072147</v>
      </c>
      <c r="E901" s="2" t="n">
        <v>0.070215</v>
      </c>
      <c r="G901" s="2" t="n">
        <v>0.07178900000000001</v>
      </c>
      <c r="H901" s="2" t="n">
        <v>0.068257</v>
      </c>
    </row>
    <row r="902">
      <c r="D902" s="2" t="n">
        <v>0.07221900000000001</v>
      </c>
      <c r="E902" s="2" t="n">
        <v>0.07025000000000001</v>
      </c>
      <c r="G902" s="2" t="n">
        <v>0.071739</v>
      </c>
      <c r="H902" s="2" t="n">
        <v>0.06825299999999999</v>
      </c>
    </row>
    <row r="903">
      <c r="D903" s="2" t="n">
        <v>0.07222000000000001</v>
      </c>
      <c r="E903" s="2" t="n">
        <v>0.070192</v>
      </c>
      <c r="G903" s="2" t="n">
        <v>0.071714</v>
      </c>
      <c r="H903" s="2" t="n">
        <v>0.068256</v>
      </c>
    </row>
    <row r="904">
      <c r="D904" s="2" t="n">
        <v>0.072214</v>
      </c>
      <c r="E904" s="2" t="n">
        <v>0.070331</v>
      </c>
      <c r="G904" s="2" t="n">
        <v>0.071765</v>
      </c>
      <c r="H904" s="2" t="n">
        <v>0.06825199999999999</v>
      </c>
    </row>
    <row r="905">
      <c r="D905" s="2" t="n">
        <v>0.07223599999999999</v>
      </c>
      <c r="E905" s="2" t="n">
        <v>0.070214</v>
      </c>
      <c r="G905" s="2" t="n">
        <v>0.071711</v>
      </c>
      <c r="H905" s="2" t="n">
        <v>0.068259</v>
      </c>
    </row>
    <row r="906">
      <c r="D906" s="2" t="n">
        <v>0.072202</v>
      </c>
      <c r="E906" s="2" t="n">
        <v>0.070267</v>
      </c>
      <c r="G906" s="2" t="n">
        <v>0.071751</v>
      </c>
      <c r="H906" s="2" t="n">
        <v>0.068328</v>
      </c>
    </row>
    <row r="907">
      <c r="D907" s="2" t="n">
        <v>0.072238</v>
      </c>
      <c r="E907" s="2" t="n">
        <v>0.07027</v>
      </c>
      <c r="G907" s="2" t="n">
        <v>0.07172000000000001</v>
      </c>
      <c r="H907" s="2" t="n">
        <v>0.06836299999999999</v>
      </c>
    </row>
    <row r="908">
      <c r="D908" s="2" t="n">
        <v>0.072244</v>
      </c>
      <c r="E908" s="2" t="n">
        <v>0.07023500000000001</v>
      </c>
    </row>
    <row r="909">
      <c r="D909" s="2" t="n">
        <v>0.07228900000000001</v>
      </c>
      <c r="E909" s="2" t="n">
        <v>0.07022</v>
      </c>
    </row>
    <row r="910">
      <c r="D910" s="2" t="n">
        <v>0.072273</v>
      </c>
      <c r="E910" s="2" t="n">
        <v>0.07026</v>
      </c>
    </row>
    <row r="911">
      <c r="D911" s="2" t="n">
        <v>0.072265</v>
      </c>
      <c r="E911" s="2" t="n">
        <v>0.070231</v>
      </c>
    </row>
    <row r="912">
      <c r="D912" s="2" t="n">
        <v>0.072232</v>
      </c>
      <c r="E912" s="2" t="n">
        <v>0.070254</v>
      </c>
    </row>
    <row r="913">
      <c r="D913" s="2" t="n">
        <v>0.072188</v>
      </c>
      <c r="E913" s="2" t="n">
        <v>0.070253</v>
      </c>
    </row>
    <row r="914">
      <c r="D914" s="2" t="n">
        <v>0.072292</v>
      </c>
      <c r="E914" s="2" t="n">
        <v>0.07027899999999999</v>
      </c>
    </row>
    <row r="915">
      <c r="D915" s="2" t="n">
        <v>0.07219200000000001</v>
      </c>
      <c r="E915" s="2" t="n">
        <v>0.070267</v>
      </c>
    </row>
    <row r="916">
      <c r="D916" s="2" t="n">
        <v>0.07222099999999999</v>
      </c>
      <c r="E916" s="2" t="n">
        <v>0.07029299999999999</v>
      </c>
    </row>
    <row r="917">
      <c r="D917" s="2" t="n">
        <v>0.07226</v>
      </c>
      <c r="E917" s="2" t="n">
        <v>0.070287</v>
      </c>
    </row>
    <row r="918">
      <c r="D918" s="2" t="n">
        <v>0.072251</v>
      </c>
      <c r="E918" s="2" t="n">
        <v>0.070272</v>
      </c>
    </row>
    <row r="919">
      <c r="D919" s="2" t="n">
        <v>0.072228</v>
      </c>
      <c r="E919" s="2" t="n">
        <v>0.07022</v>
      </c>
    </row>
    <row r="920">
      <c r="D920" s="2" t="n">
        <v>0.072229</v>
      </c>
      <c r="E920" s="2" t="n">
        <v>0.070296</v>
      </c>
    </row>
    <row r="921">
      <c r="D921" s="2" t="n">
        <v>0.07220799999999999</v>
      </c>
      <c r="E921" s="2" t="n">
        <v>0.070217</v>
      </c>
    </row>
    <row r="922">
      <c r="D922" s="2" t="n">
        <v>0.072232</v>
      </c>
      <c r="E922" s="2" t="n">
        <v>0.070266</v>
      </c>
    </row>
    <row r="923">
      <c r="D923" s="2" t="n">
        <v>0.072237</v>
      </c>
      <c r="E923" s="2" t="n">
        <v>0.070242</v>
      </c>
    </row>
    <row r="924">
      <c r="D924" s="2" t="n">
        <v>0.07224</v>
      </c>
      <c r="E924" s="2" t="n">
        <v>0.070244</v>
      </c>
    </row>
    <row r="925">
      <c r="D925" s="2" t="n">
        <v>0.072237</v>
      </c>
      <c r="E925" s="2" t="n">
        <v>0.070252</v>
      </c>
    </row>
    <row r="926">
      <c r="D926" s="2" t="n">
        <v>0.07224999999999999</v>
      </c>
      <c r="E926" s="2" t="n">
        <v>0.07027600000000001</v>
      </c>
    </row>
    <row r="927">
      <c r="D927" s="2" t="n">
        <v>0.07224800000000001</v>
      </c>
      <c r="E927" s="2" t="n">
        <v>0.070274</v>
      </c>
    </row>
    <row r="928">
      <c r="D928" s="2" t="n">
        <v>0.072211</v>
      </c>
      <c r="E928" s="2" t="n">
        <v>0.070254</v>
      </c>
    </row>
    <row r="929">
      <c r="D929" s="2" t="n">
        <v>0.07224700000000001</v>
      </c>
      <c r="E929" s="2" t="n">
        <v>0.07027600000000001</v>
      </c>
    </row>
    <row r="930">
      <c r="D930" s="2" t="n">
        <v>0.07221900000000001</v>
      </c>
      <c r="E930" s="2" t="n">
        <v>0.070267</v>
      </c>
    </row>
    <row r="931">
      <c r="D931" s="2" t="n">
        <v>0.072232</v>
      </c>
      <c r="E931" s="2" t="n">
        <v>0.070247</v>
      </c>
    </row>
    <row r="932">
      <c r="D932" s="2" t="n">
        <v>0.072246</v>
      </c>
      <c r="E932" s="2" t="n">
        <v>0.07023500000000001</v>
      </c>
    </row>
    <row r="933">
      <c r="D933" s="2" t="n">
        <v>0.07224899999999999</v>
      </c>
      <c r="E933" s="2" t="n">
        <v>0.070232</v>
      </c>
    </row>
    <row r="934">
      <c r="D934" s="2" t="n">
        <v>0.07223</v>
      </c>
      <c r="E934" s="2" t="n">
        <v>0.07027600000000001</v>
      </c>
    </row>
    <row r="935">
      <c r="D935" s="2" t="n">
        <v>0.072224</v>
      </c>
      <c r="E935" s="2" t="n">
        <v>0.070244</v>
      </c>
    </row>
    <row r="936">
      <c r="D936" s="2" t="n">
        <v>0.072227</v>
      </c>
      <c r="E936" s="2" t="n">
        <v>0.070246</v>
      </c>
    </row>
    <row r="937">
      <c r="D937" s="2" t="n">
        <v>0.07223400000000001</v>
      </c>
      <c r="E937" s="2" t="n">
        <v>0.07027600000000001</v>
      </c>
    </row>
    <row r="938">
      <c r="D938" s="2" t="n">
        <v>0.072254</v>
      </c>
      <c r="E938" s="2" t="n">
        <v>0.070258</v>
      </c>
    </row>
    <row r="939">
      <c r="D939" s="2" t="n">
        <v>0.07224999999999999</v>
      </c>
      <c r="E939" s="2" t="n">
        <v>0.070266</v>
      </c>
    </row>
    <row r="940">
      <c r="D940" s="2" t="n">
        <v>0.072224</v>
      </c>
      <c r="E940" s="2" t="n">
        <v>0.07026399999999999</v>
      </c>
    </row>
    <row r="941">
      <c r="D941" s="2" t="n">
        <v>0.072217</v>
      </c>
      <c r="E941" s="2" t="n">
        <v>0.07026200000000001</v>
      </c>
    </row>
    <row r="942">
      <c r="D942" s="2" t="n">
        <v>0.072253</v>
      </c>
      <c r="E942" s="2" t="n">
        <v>0.070256</v>
      </c>
    </row>
    <row r="943">
      <c r="D943" s="2" t="n">
        <v>0.07223599999999999</v>
      </c>
      <c r="E943" s="2" t="n">
        <v>0.070284</v>
      </c>
    </row>
    <row r="944">
      <c r="D944" s="2" t="n">
        <v>0.072231</v>
      </c>
      <c r="E944" s="2" t="n">
        <v>0.070247</v>
      </c>
    </row>
    <row r="945">
      <c r="D945" s="2" t="n">
        <v>0.07224999999999999</v>
      </c>
      <c r="E945" s="2" t="n">
        <v>0.07027700000000001</v>
      </c>
    </row>
    <row r="946">
      <c r="D946" s="2" t="n">
        <v>0.07223599999999999</v>
      </c>
      <c r="E946" s="2" t="n">
        <v>0.070261</v>
      </c>
    </row>
    <row r="947">
      <c r="D947" s="2" t="n">
        <v>0.07224700000000001</v>
      </c>
      <c r="E947" s="2" t="n">
        <v>0.070255</v>
      </c>
    </row>
    <row r="948">
      <c r="D948" s="2" t="n">
        <v>0.072231</v>
      </c>
      <c r="E948" s="2" t="n">
        <v>0.07023500000000001</v>
      </c>
    </row>
    <row r="949">
      <c r="D949" s="2" t="n">
        <v>0.072232</v>
      </c>
      <c r="E949" s="2" t="n">
        <v>0.07026399999999999</v>
      </c>
    </row>
    <row r="950">
      <c r="D950" s="2" t="n">
        <v>0.072217</v>
      </c>
      <c r="E950" s="2" t="n">
        <v>0.070258</v>
      </c>
    </row>
    <row r="951">
      <c r="D951" s="2" t="n">
        <v>0.072245</v>
      </c>
      <c r="E951" s="2" t="n">
        <v>0.070272</v>
      </c>
    </row>
    <row r="952">
      <c r="D952" s="2" t="n">
        <v>0.07226200000000001</v>
      </c>
      <c r="E952" s="2" t="n">
        <v>0.070268</v>
      </c>
    </row>
    <row r="953">
      <c r="D953" s="2" t="n">
        <v>0.072244</v>
      </c>
      <c r="E953" s="2" t="n">
        <v>0.070254</v>
      </c>
    </row>
    <row r="954">
      <c r="D954" s="2" t="n">
        <v>0.072231</v>
      </c>
      <c r="E954" s="2" t="n">
        <v>0.07026300000000001</v>
      </c>
    </row>
    <row r="955">
      <c r="D955" s="2" t="n">
        <v>0.072253</v>
      </c>
      <c r="E955" s="2" t="n">
        <v>0.070256</v>
      </c>
    </row>
    <row r="956">
      <c r="D956" s="2" t="n">
        <v>0.072242</v>
      </c>
      <c r="E956" s="2" t="n">
        <v>0.070246</v>
      </c>
    </row>
    <row r="957">
      <c r="D957" s="2" t="n">
        <v>0.07224700000000001</v>
      </c>
      <c r="E957" s="2" t="n">
        <v>0.070257</v>
      </c>
    </row>
    <row r="958">
      <c r="D958" s="2" t="n">
        <v>0.072238</v>
      </c>
      <c r="E958" s="2" t="n">
        <v>0.07026</v>
      </c>
    </row>
    <row r="959">
      <c r="D959" s="2" t="n">
        <v>0.072243</v>
      </c>
      <c r="E959" s="2" t="n">
        <v>0.07026</v>
      </c>
    </row>
    <row r="960">
      <c r="D960" s="2" t="n">
        <v>0.072231</v>
      </c>
      <c r="E960" s="2" t="n">
        <v>0.070274</v>
      </c>
    </row>
    <row r="961">
      <c r="D961" s="2" t="n">
        <v>0.07224999999999999</v>
      </c>
      <c r="E961" s="2" t="n">
        <v>0.070256</v>
      </c>
    </row>
    <row r="962">
      <c r="D962" s="2" t="n">
        <v>0.07224800000000001</v>
      </c>
      <c r="E962" s="2" t="n">
        <v>0.070271</v>
      </c>
    </row>
    <row r="963">
      <c r="D963" s="2" t="n">
        <v>0.072254</v>
      </c>
      <c r="E963" s="2" t="n">
        <v>0.07027600000000001</v>
      </c>
    </row>
    <row r="964">
      <c r="D964" s="2" t="n">
        <v>0.07223</v>
      </c>
      <c r="E964" s="2" t="n">
        <v>0.070261</v>
      </c>
    </row>
    <row r="965">
      <c r="D965" s="2" t="n">
        <v>0.07224</v>
      </c>
      <c r="E965" s="2" t="n">
        <v>0.070257</v>
      </c>
    </row>
    <row r="966">
      <c r="D966" s="2" t="n">
        <v>0.072251</v>
      </c>
      <c r="E966" s="2" t="n">
        <v>0.07026</v>
      </c>
    </row>
    <row r="967">
      <c r="D967" s="2" t="n">
        <v>0.072243</v>
      </c>
      <c r="E967" s="2" t="n">
        <v>0.07027</v>
      </c>
    </row>
    <row r="968">
      <c r="D968" s="2" t="n">
        <v>0.07224800000000001</v>
      </c>
      <c r="E968" s="2" t="n">
        <v>0.070253</v>
      </c>
    </row>
    <row r="969">
      <c r="D969" s="2" t="n">
        <v>0.072238</v>
      </c>
      <c r="E969" s="2" t="n">
        <v>0.07026200000000001</v>
      </c>
    </row>
    <row r="970">
      <c r="D970" s="2" t="n">
        <v>0.072251</v>
      </c>
      <c r="E970" s="2" t="n">
        <v>0.070257</v>
      </c>
    </row>
    <row r="971">
      <c r="D971" s="2" t="n">
        <v>0.072241</v>
      </c>
      <c r="E971" s="2" t="n">
        <v>0.07026300000000001</v>
      </c>
    </row>
    <row r="972">
      <c r="D972" s="2" t="n">
        <v>0.07224</v>
      </c>
      <c r="E972" s="2" t="n">
        <v>0.070259</v>
      </c>
    </row>
    <row r="973">
      <c r="D973" s="2" t="n">
        <v>0.07224</v>
      </c>
      <c r="E973" s="2" t="n">
        <v>0.070259</v>
      </c>
    </row>
    <row r="974">
      <c r="D974" s="2" t="n">
        <v>0.07224999999999999</v>
      </c>
      <c r="E974" s="2" t="n">
        <v>0.070259</v>
      </c>
    </row>
    <row r="975">
      <c r="D975" s="2" t="n">
        <v>0.072245</v>
      </c>
      <c r="E975" s="2" t="n">
        <v>0.070258</v>
      </c>
    </row>
    <row r="976">
      <c r="D976" s="2" t="n">
        <v>0.072254</v>
      </c>
      <c r="E976" s="2" t="n">
        <v>0.070268</v>
      </c>
    </row>
    <row r="977">
      <c r="D977" s="2" t="n">
        <v>0.072243</v>
      </c>
      <c r="E977" s="2" t="n">
        <v>0.07026200000000001</v>
      </c>
    </row>
    <row r="978">
      <c r="D978" s="2" t="n">
        <v>0.072242</v>
      </c>
      <c r="E978" s="2" t="n">
        <v>0.070266</v>
      </c>
    </row>
    <row r="979">
      <c r="D979" s="2" t="n">
        <v>0.072245</v>
      </c>
      <c r="E979" s="2" t="n">
        <v>0.070261</v>
      </c>
    </row>
    <row r="980">
      <c r="D980" s="2" t="n">
        <v>0.07224700000000001</v>
      </c>
      <c r="E980" s="2" t="n">
        <v>0.07026</v>
      </c>
    </row>
    <row r="981">
      <c r="D981" s="2" t="n">
        <v>0.072254</v>
      </c>
      <c r="E981" s="2" t="n">
        <v>0.070259</v>
      </c>
    </row>
    <row r="982">
      <c r="D982" s="2" t="n">
        <v>0.072246</v>
      </c>
      <c r="E982" s="2" t="n">
        <v>0.070256</v>
      </c>
    </row>
    <row r="983">
      <c r="D983" s="2" t="n">
        <v>0.072245</v>
      </c>
      <c r="E983" s="2" t="n">
        <v>0.070257</v>
      </c>
    </row>
    <row r="984">
      <c r="D984" s="2" t="n">
        <v>0.07224999999999999</v>
      </c>
      <c r="E984" s="2" t="n">
        <v>0.07026200000000001</v>
      </c>
    </row>
    <row r="985">
      <c r="D985" s="2" t="n">
        <v>0.072246</v>
      </c>
      <c r="E985" s="2" t="n">
        <v>0.070258</v>
      </c>
    </row>
    <row r="986">
      <c r="D986" s="2" t="n">
        <v>0.07224999999999999</v>
      </c>
      <c r="E986" s="2" t="n">
        <v>0.070259</v>
      </c>
    </row>
    <row r="987">
      <c r="D987" s="2" t="n">
        <v>0.07224700000000001</v>
      </c>
      <c r="E987" s="2" t="n">
        <v>0.070261</v>
      </c>
    </row>
    <row r="988">
      <c r="D988" s="2" t="n">
        <v>0.07224899999999999</v>
      </c>
      <c r="E988" s="2" t="n">
        <v>0.070257</v>
      </c>
    </row>
    <row r="989">
      <c r="D989" s="2" t="n">
        <v>0.07224800000000001</v>
      </c>
      <c r="E989" s="2" t="n">
        <v>0.070257</v>
      </c>
    </row>
    <row r="990">
      <c r="D990" s="2" t="n">
        <v>0.072246</v>
      </c>
      <c r="E990" s="2" t="n">
        <v>0.070258</v>
      </c>
    </row>
    <row r="991">
      <c r="D991" s="2" t="n">
        <v>0.07224700000000001</v>
      </c>
      <c r="E991" s="2" t="n">
        <v>0.070256</v>
      </c>
    </row>
    <row r="992">
      <c r="D992" s="2" t="n">
        <v>0.07224899999999999</v>
      </c>
      <c r="E992" s="2" t="n">
        <v>0.070258</v>
      </c>
    </row>
    <row r="993">
      <c r="D993" s="2" t="n">
        <v>0.07224800000000001</v>
      </c>
      <c r="E993" s="2" t="n">
        <v>0.070258</v>
      </c>
    </row>
    <row r="994">
      <c r="D994" s="2" t="n">
        <v>0.07224800000000001</v>
      </c>
      <c r="E994" s="2" t="n">
        <v>0.070259</v>
      </c>
    </row>
    <row r="995">
      <c r="D995" s="2" t="n">
        <v>0.07224800000000001</v>
      </c>
      <c r="E995" s="2" t="n">
        <v>0.07026</v>
      </c>
    </row>
    <row r="996">
      <c r="D996" s="2" t="n">
        <v>0.07224800000000001</v>
      </c>
      <c r="E996" s="2" t="n">
        <v>0.07026</v>
      </c>
    </row>
    <row r="997">
      <c r="D997" s="2" t="n">
        <v>0.07224899999999999</v>
      </c>
      <c r="E997" s="2" t="n">
        <v>0.070259</v>
      </c>
    </row>
    <row r="998">
      <c r="D998" s="2" t="n">
        <v>0.07224800000000001</v>
      </c>
      <c r="E998" s="2" t="n">
        <v>0.070259</v>
      </c>
    </row>
    <row r="999">
      <c r="D999" s="2" t="n">
        <v>0.07224800000000001</v>
      </c>
      <c r="E999" s="2" t="n">
        <v>0.070259</v>
      </c>
    </row>
    <row r="1000">
      <c r="D1000" s="2" t="n">
        <v>0.07224899999999999</v>
      </c>
      <c r="E1000" s="2" t="n">
        <v>0.070259</v>
      </c>
    </row>
    <row r="1001">
      <c r="D1001" s="2" t="n">
        <v>0.07224899999999999</v>
      </c>
      <c r="E1001" s="2" t="n">
        <v>0.070259</v>
      </c>
    </row>
    <row r="1002">
      <c r="D1002" s="2" t="n">
        <v>0.07224899999999999</v>
      </c>
      <c r="E1002" s="2" t="n">
        <v>0.070259</v>
      </c>
    </row>
    <row r="1003">
      <c r="D1003" s="2" t="n">
        <v>0.07224899999999999</v>
      </c>
      <c r="E1003" s="2" t="n">
        <v>0.070259</v>
      </c>
    </row>
  </sheetData>
  <mergeCells count="3">
    <mergeCell ref="G2:H2"/>
    <mergeCell ref="D1:H1"/>
    <mergeCell ref="D2:E2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K31"/>
  <sheetViews>
    <sheetView workbookViewId="0">
      <selection activeCell="H10" sqref="H10"/>
    </sheetView>
  </sheetViews>
  <sheetFormatPr baseColWidth="8" defaultColWidth="9" defaultRowHeight="14"/>
  <cols>
    <col width="12.8181818181818" customWidth="1" style="57" min="2" max="3"/>
    <col width="10.5454545454545" customWidth="1" style="57" min="4" max="5"/>
    <col width="12.8181818181818" customWidth="1" style="57" min="6" max="8"/>
    <col width="9.5" customWidth="1" style="57" min="15" max="15"/>
    <col width="10.5" customWidth="1" style="57" min="17" max="17"/>
  </cols>
  <sheetData>
    <row r="2">
      <c r="B2" s="3" t="inlineStr">
        <is>
          <t>rMD17 的 Energy 上的平均性能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>
      <c r="D3" s="2" t="inlineStr">
        <is>
          <t>w/o EDG</t>
        </is>
      </c>
      <c r="E3" s="2" t="inlineStr">
        <is>
          <t>w/ EDG</t>
        </is>
      </c>
      <c r="F3" s="2" t="inlineStr">
        <is>
          <t>w/ EDG++</t>
        </is>
      </c>
    </row>
    <row r="4">
      <c r="C4" s="2" t="inlineStr">
        <is>
          <t>SchNet</t>
        </is>
      </c>
      <c r="D4" s="2" t="n">
        <v>0.2502985</v>
      </c>
      <c r="E4" s="2" t="n">
        <v>0.1554687</v>
      </c>
      <c r="G4" s="2">
        <f>-1*(E4/D4-1)</f>
        <v/>
      </c>
    </row>
    <row r="5">
      <c r="C5" s="2" t="inlineStr">
        <is>
          <t>SphereNet</t>
        </is>
      </c>
      <c r="D5" s="2" t="n">
        <v>0.0782267</v>
      </c>
      <c r="E5" s="2" t="n">
        <v>0.0584079</v>
      </c>
      <c r="F5" s="2" t="n">
        <v>0.055551</v>
      </c>
      <c r="G5" s="2">
        <f>-1*(E5/D5-1)</f>
        <v/>
      </c>
      <c r="H5" s="2">
        <f>-1*(F5/D5-1)</f>
        <v/>
      </c>
    </row>
    <row r="6">
      <c r="C6" s="2" t="inlineStr">
        <is>
          <t>ViSNet</t>
        </is>
      </c>
      <c r="D6" s="2" t="n">
        <v>0.0189774</v>
      </c>
      <c r="E6" s="2" t="n">
        <v>0.0163625</v>
      </c>
      <c r="G6" s="2">
        <f>-1*(E6/D6-1)</f>
        <v/>
      </c>
    </row>
    <row r="7">
      <c r="C7" s="2" t="n"/>
    </row>
    <row r="27">
      <c r="A27" s="3" t="inlineStr">
        <is>
          <t>QM9</t>
        </is>
      </c>
    </row>
    <row r="28">
      <c r="B28" s="2" t="inlineStr">
        <is>
          <t>w/o EDG</t>
        </is>
      </c>
      <c r="C28" s="2" t="inlineStr">
        <is>
          <t>w/ EDG</t>
        </is>
      </c>
    </row>
    <row r="29">
      <c r="A29" s="4" t="inlineStr">
        <is>
          <t>SchNet</t>
        </is>
      </c>
      <c r="B29" s="2" t="n">
        <v>13.9795966666667</v>
      </c>
      <c r="C29" s="2" t="n">
        <v>13.7549721666667</v>
      </c>
    </row>
    <row r="30">
      <c r="A30" s="4" t="inlineStr">
        <is>
          <t>EGNN</t>
        </is>
      </c>
      <c r="B30" s="2" t="n">
        <v>12.3824786666667</v>
      </c>
      <c r="C30" s="2" t="n">
        <v>11.8560869166667</v>
      </c>
    </row>
    <row r="31">
      <c r="A31" s="4" t="inlineStr">
        <is>
          <t>Equiformer</t>
        </is>
      </c>
      <c r="B31" s="2" t="n">
        <v>14.35633125</v>
      </c>
      <c r="C31" s="2" t="n">
        <v>13.2550406666667</v>
      </c>
    </row>
  </sheetData>
  <mergeCells count="1">
    <mergeCell ref="A27:C27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2026-04-20T07:37:54Z</dcterms:modified>
  <cp:lastModifiedBy>Li Zeng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F86A872AFAD4413EA169F6C1C8E3FFE8_13</vt:lpwstr>
  </property>
  <property name="CalculationRule" fmtid="{D5CDD505-2E9C-101B-9397-08002B2CF9AE}" pid="4">
    <vt:i4 xmlns:vt="http://schemas.openxmlformats.org/officeDocument/2006/docPropsVTypes">0</vt:i4>
  </property>
</Properties>
</file>